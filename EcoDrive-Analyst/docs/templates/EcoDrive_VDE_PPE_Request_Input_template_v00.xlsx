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ioHenriqueFerreira\Downloads\From Git\projects\EcoDrive-Analyst\docs\templates\"/>
    </mc:Choice>
  </mc:AlternateContent>
  <xr:revisionPtr revIDLastSave="0" documentId="13_ncr:1_{41A4B602-677D-436C-A0D3-B19F926E382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raft new Build_Up" sheetId="7" r:id="rId1"/>
    <sheet name="REQUEST" sheetId="1" r:id="rId2"/>
    <sheet name="FIELD_MAP" sheetId="3" r:id="rId3"/>
    <sheet name="LISTS" sheetId="4" r:id="rId4"/>
    <sheet name="RULE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7" l="1"/>
  <c r="E26" i="7"/>
  <c r="E25" i="7"/>
  <c r="E24" i="7"/>
  <c r="E23" i="7"/>
  <c r="E22" i="7"/>
  <c r="E21" i="7"/>
  <c r="F71" i="7"/>
  <c r="X11" i="4"/>
  <c r="X10" i="4"/>
  <c r="X9" i="4"/>
  <c r="X8" i="4"/>
  <c r="X7" i="4"/>
  <c r="X6" i="4"/>
  <c r="X5" i="4"/>
  <c r="X4" i="4"/>
  <c r="X3" i="4"/>
  <c r="X2" i="4"/>
  <c r="H3" i="4" a="1"/>
  <c r="H3" i="4" s="1"/>
  <c r="O92" i="7"/>
  <c r="N92" i="7"/>
  <c r="M92" i="7"/>
  <c r="L92" i="7"/>
  <c r="K92" i="7"/>
  <c r="J92" i="7"/>
  <c r="I92" i="7"/>
  <c r="H92" i="7"/>
  <c r="G92" i="7"/>
  <c r="O86" i="7"/>
  <c r="N86" i="7"/>
  <c r="M86" i="7"/>
  <c r="L86" i="7"/>
  <c r="K86" i="7"/>
  <c r="J86" i="7"/>
  <c r="I86" i="7"/>
  <c r="H86" i="7"/>
  <c r="G86" i="7"/>
  <c r="O79" i="7"/>
  <c r="N79" i="7"/>
  <c r="M79" i="7"/>
  <c r="L79" i="7"/>
  <c r="K79" i="7"/>
  <c r="J79" i="7"/>
  <c r="I79" i="7"/>
  <c r="H79" i="7"/>
  <c r="G79" i="7"/>
  <c r="O71" i="7"/>
  <c r="N71" i="7"/>
  <c r="M71" i="7"/>
  <c r="L71" i="7"/>
  <c r="K71" i="7"/>
  <c r="J71" i="7"/>
  <c r="I71" i="7"/>
  <c r="H71" i="7"/>
  <c r="G71" i="7"/>
  <c r="O59" i="7"/>
  <c r="N59" i="7"/>
  <c r="M59" i="7"/>
  <c r="L59" i="7"/>
  <c r="K59" i="7"/>
  <c r="J59" i="7"/>
  <c r="I59" i="7"/>
  <c r="H59" i="7"/>
  <c r="G59" i="7"/>
  <c r="O55" i="7"/>
  <c r="N55" i="7"/>
  <c r="M55" i="7"/>
  <c r="L55" i="7"/>
  <c r="K55" i="7"/>
  <c r="J55" i="7"/>
  <c r="I55" i="7"/>
  <c r="H55" i="7"/>
  <c r="G55" i="7"/>
  <c r="O37" i="7"/>
  <c r="N37" i="7"/>
  <c r="M37" i="7"/>
  <c r="L37" i="7"/>
  <c r="K37" i="7"/>
  <c r="J37" i="7"/>
  <c r="I37" i="7"/>
  <c r="H37" i="7"/>
  <c r="G37" i="7"/>
  <c r="F37" i="7"/>
  <c r="F55" i="7"/>
  <c r="F59" i="7"/>
  <c r="F79" i="7"/>
  <c r="F92" i="7"/>
  <c r="F8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<sst xmlns="http://schemas.openxmlformats.org/spreadsheetml/2006/main" count="1650" uniqueCount="491">
  <si>
    <t>EcoDrive VDE PPE Request Input — Mass proposal refactored</t>
  </si>
  <si>
    <t>Mass logic is selected in 'Mass proposal type'. GVWR/GCWR/TWC/WLTP/Custom are options, not separate top-level scenario rows. Blank = inherit/no request; 0 = explicit zero.</t>
  </si>
  <si>
    <t>Section</t>
  </si>
  <si>
    <t>Field / Parameter</t>
  </si>
  <si>
    <t>Unit</t>
  </si>
  <si>
    <t>Baseline / Printed</t>
  </si>
  <si>
    <t>Baseline Override</t>
  </si>
  <si>
    <t>Requested #1</t>
  </si>
  <si>
    <t>Requested #2</t>
  </si>
  <si>
    <t>Requested #3</t>
  </si>
  <si>
    <t>Requested #4</t>
  </si>
  <si>
    <t>Scenario / Context</t>
  </si>
  <si>
    <t>Name / Description</t>
  </si>
  <si>
    <t>-</t>
  </si>
  <si>
    <t>No</t>
  </si>
  <si>
    <t>VDE ID</t>
  </si>
  <si>
    <t>Walk From</t>
  </si>
  <si>
    <t>Legislation</t>
  </si>
  <si>
    <t>Category</t>
  </si>
  <si>
    <t>Make</t>
  </si>
  <si>
    <t>Model</t>
  </si>
  <si>
    <t>Model Year</t>
  </si>
  <si>
    <t>Electrification</t>
  </si>
  <si>
    <t>Transmission Type</t>
  </si>
  <si>
    <t>Drive Type</t>
  </si>
  <si>
    <t>Fuel Type</t>
  </si>
  <si>
    <t>Cycle Name</t>
  </si>
  <si>
    <t>Cycle Source</t>
  </si>
  <si>
    <t>Proposal Matrix</t>
  </si>
  <si>
    <t>Mass proposal type</t>
  </si>
  <si>
    <t>Reference</t>
  </si>
  <si>
    <t>Aero proposal type</t>
  </si>
  <si>
    <t>Tire proposal type</t>
  </si>
  <si>
    <t>Transmission proposal type</t>
  </si>
  <si>
    <t>Brake proposal type</t>
  </si>
  <si>
    <t>Axle &amp; Hubs proposal type</t>
  </si>
  <si>
    <t>Parasitic Losses proposal type</t>
  </si>
  <si>
    <t>ABC_TOTAL</t>
  </si>
  <si>
    <t>ABC_TOTAL Basis</t>
  </si>
  <si>
    <t>ABC_TOTAL A</t>
  </si>
  <si>
    <t>N</t>
  </si>
  <si>
    <t>ABC_TOTAL B</t>
  </si>
  <si>
    <t>N/kph</t>
  </si>
  <si>
    <t>ABC_TOTAL C</t>
  </si>
  <si>
    <t>N/kph²</t>
  </si>
  <si>
    <t>ABC_TOTAL Source</t>
  </si>
  <si>
    <t>Mass</t>
  </si>
  <si>
    <t>Curb / Base Mass</t>
  </si>
  <si>
    <t>kg</t>
  </si>
  <si>
    <t>EPA Inertia / TWC Mass</t>
  </si>
  <si>
    <t>Test Mass Basis</t>
  </si>
  <si>
    <t>Test Mass</t>
  </si>
  <si>
    <t>Payload</t>
  </si>
  <si>
    <t>Optional Equipment Mass</t>
  </si>
  <si>
    <t>Front Weight Distribution</t>
  </si>
  <si>
    <t>%</t>
  </si>
  <si>
    <t>WLTP Category</t>
  </si>
  <si>
    <t>Tire Load Mass Basis</t>
  </si>
  <si>
    <t>TWC Class Offset</t>
  </si>
  <si>
    <t>TWC Target Point</t>
  </si>
  <si>
    <t>Mass Profile GVWR</t>
  </si>
  <si>
    <t>Mass Profile GCWR</t>
  </si>
  <si>
    <t>Mass Profile Trailer Mass</t>
  </si>
  <si>
    <t>Mass Profile Custom Input</t>
  </si>
  <si>
    <t>Resolved Test Mass</t>
  </si>
  <si>
    <t>Trailer / GCWR</t>
  </si>
  <si>
    <t>Trailer Code</t>
  </si>
  <si>
    <t>Trailer A</t>
  </si>
  <si>
    <t>Trailer B</t>
  </si>
  <si>
    <t>Trailer C</t>
  </si>
  <si>
    <t>Aero</t>
  </si>
  <si>
    <t>Aero Mode</t>
  </si>
  <si>
    <t>CdA</t>
  </si>
  <si>
    <t>m²</t>
  </si>
  <si>
    <t>Delta CdA</t>
  </si>
  <si>
    <t>Cd</t>
  </si>
  <si>
    <t>Frontal Area</t>
  </si>
  <si>
    <t>CdA Source</t>
  </si>
  <si>
    <t>Tire</t>
  </si>
  <si>
    <t>Tire Mode</t>
  </si>
  <si>
    <t>Tire Code</t>
  </si>
  <si>
    <t>Tire DB ID</t>
  </si>
  <si>
    <t>Tire Size</t>
  </si>
  <si>
    <t>Front Pressure</t>
  </si>
  <si>
    <t>psi</t>
  </si>
  <si>
    <t>Rear Pressure</t>
  </si>
  <si>
    <t>Hot Front Pressure</t>
  </si>
  <si>
    <t>Hot Rear Pressure</t>
  </si>
  <si>
    <t>RRC</t>
  </si>
  <si>
    <t>N/kN</t>
  </si>
  <si>
    <t>SMERF</t>
  </si>
  <si>
    <t>Tire Improvement</t>
  </si>
  <si>
    <t>Tire Notes</t>
  </si>
  <si>
    <t>Transmission</t>
  </si>
  <si>
    <t>Transmission Mode</t>
  </si>
  <si>
    <t>Neutral Drag Source</t>
  </si>
  <si>
    <t>Transmission A</t>
  </si>
  <si>
    <t>Transmission B</t>
  </si>
  <si>
    <t>Transmission C</t>
  </si>
  <si>
    <t>Transmission Delta A</t>
  </si>
  <si>
    <t>Transmission Delta B</t>
  </si>
  <si>
    <t>Transmission Delta C</t>
  </si>
  <si>
    <t>Transmission Loss</t>
  </si>
  <si>
    <t>Percent Basis</t>
  </si>
  <si>
    <t>Brake</t>
  </si>
  <si>
    <t>Brake Mode</t>
  </si>
  <si>
    <t>Brake A</t>
  </si>
  <si>
    <t>Brake B</t>
  </si>
  <si>
    <t>Brake C</t>
  </si>
  <si>
    <t>Brake Delta A</t>
  </si>
  <si>
    <t>Brake Delta B</t>
  </si>
  <si>
    <t>Brake Delta C</t>
  </si>
  <si>
    <t>Residual Torque Front</t>
  </si>
  <si>
    <t>Nm</t>
  </si>
  <si>
    <t>Residual Torque Rear</t>
  </si>
  <si>
    <t>Residual Torque Total</t>
  </si>
  <si>
    <t>Wheel Radius</t>
  </si>
  <si>
    <t>m</t>
  </si>
  <si>
    <t>Brake Drag Force</t>
  </si>
  <si>
    <t>Brake Temp Condition</t>
  </si>
  <si>
    <t>Brake Release Condition</t>
  </si>
  <si>
    <t>Caliper Drag Status</t>
  </si>
  <si>
    <t>Pad Drag Status</t>
  </si>
  <si>
    <t>Parking Brake Drag Flag</t>
  </si>
  <si>
    <t>Axle &amp; Hubs</t>
  </si>
  <si>
    <t>Axle &amp; Hubs Mode</t>
  </si>
  <si>
    <t>Axle &amp; Hubs A</t>
  </si>
  <si>
    <t>Axle &amp; Hubs B</t>
  </si>
  <si>
    <t>Axle &amp; Hubs C</t>
  </si>
  <si>
    <t>Axle &amp; Hubs Delta A</t>
  </si>
  <si>
    <t>Axle &amp; Hubs Delta B</t>
  </si>
  <si>
    <t>Axle &amp; Hubs Delta C</t>
  </si>
  <si>
    <t>Parasitic Losses</t>
  </si>
  <si>
    <t>Parasitic Mode</t>
  </si>
  <si>
    <t>Parasitic A</t>
  </si>
  <si>
    <t>Parasitic B</t>
  </si>
  <si>
    <t>Parasitic C</t>
  </si>
  <si>
    <t>Parasitic Delta A</t>
  </si>
  <si>
    <t>Parasitic Delta B</t>
  </si>
  <si>
    <t>Parasitic Delta C</t>
  </si>
  <si>
    <t>section</t>
  </si>
  <si>
    <t>field</t>
  </si>
  <si>
    <t>field_key</t>
  </si>
  <si>
    <t>calc_mode</t>
  </si>
  <si>
    <t>A</t>
  </si>
  <si>
    <t>absolute</t>
  </si>
  <si>
    <t>Total roadload A term</t>
  </si>
  <si>
    <t>B</t>
  </si>
  <si>
    <t>Total roadload B term</t>
  </si>
  <si>
    <t>C</t>
  </si>
  <si>
    <t>Total roadload C term</t>
  </si>
  <si>
    <t>mass_kg</t>
  </si>
  <si>
    <t>Baseline/support value; not a mass scenario by itself</t>
  </si>
  <si>
    <t>inertia_class</t>
  </si>
  <si>
    <t>Support for EPA status/TWC logic</t>
  </si>
  <si>
    <t>test_mass_kg</t>
  </si>
  <si>
    <t>Manual/custom test mass when selected</t>
  </si>
  <si>
    <t>payload_kg</t>
  </si>
  <si>
    <t>Payload support value</t>
  </si>
  <si>
    <t>options_kg</t>
  </si>
  <si>
    <t>Options/MRO support value</t>
  </si>
  <si>
    <t>weight_dist_fr_pct</t>
  </si>
  <si>
    <t>Front weight distribution</t>
  </si>
  <si>
    <t>mass_delta_class_offset</t>
  </si>
  <si>
    <t>delta</t>
  </si>
  <si>
    <t>Support for TWC shift proposal: -1, 0, +1, etc.</t>
  </si>
  <si>
    <t>mass_profile_gvwr_kg</t>
  </si>
  <si>
    <t>Support field used only when Mass proposal type = GVWR</t>
  </si>
  <si>
    <t>mass_profile_gcwr_kg</t>
  </si>
  <si>
    <t>Support field used only when Mass proposal type = GCWR / trailer</t>
  </si>
  <si>
    <t>mass_profile_trailer_mass_kg</t>
  </si>
  <si>
    <t>mass_profile_custom_input_kg</t>
  </si>
  <si>
    <t>Support field used only when Mass proposal type = Custom</t>
  </si>
  <si>
    <t>resolved_test_mass_kg</t>
  </si>
  <si>
    <t>Calculated by UI/parser; not a scenario option</t>
  </si>
  <si>
    <t>trailer_A</t>
  </si>
  <si>
    <t>Trailer roadload A support</t>
  </si>
  <si>
    <t>trailer_B</t>
  </si>
  <si>
    <t>Trailer roadload B support</t>
  </si>
  <si>
    <t>trailer_C</t>
  </si>
  <si>
    <t>Trailer roadload C support</t>
  </si>
  <si>
    <t>cda_m2</t>
  </si>
  <si>
    <t>Absolute CdA; Delta CdA is calculated from baseline when proposal is absolute</t>
  </si>
  <si>
    <t>delta_aero_cdA</t>
  </si>
  <si>
    <t>Calculated from absolute CdA, or direct delta when proposal type = Delta</t>
  </si>
  <si>
    <t>cd</t>
  </si>
  <si>
    <t>Coefficient if using Cd x Area</t>
  </si>
  <si>
    <t>frontal_area_m2</t>
  </si>
  <si>
    <t>Frontal area if using Cd x Area</t>
  </si>
  <si>
    <t>front_pressure_psi</t>
  </si>
  <si>
    <t>Cold/placard front pressure</t>
  </si>
  <si>
    <t>rear_pressure_psi</t>
  </si>
  <si>
    <t>Cold/placard rear pressure</t>
  </si>
  <si>
    <t>hot_front_pressure_psi</t>
  </si>
  <si>
    <t>Hot front pressure if available</t>
  </si>
  <si>
    <t>hot_rear_pressure_psi</t>
  </si>
  <si>
    <t>Hot rear pressure if available</t>
  </si>
  <si>
    <t>rrc_N_per_kN</t>
  </si>
  <si>
    <t>Rolling resistance coefficient</t>
  </si>
  <si>
    <t>smerf</t>
  </si>
  <si>
    <t>Optional audit field</t>
  </si>
  <si>
    <t>tire_improvement_pct</t>
  </si>
  <si>
    <t>percent_delta</t>
  </si>
  <si>
    <t>Improvement percentage; positive means improvement request</t>
  </si>
  <si>
    <t>trans_A_coef_N</t>
  </si>
  <si>
    <t>Neutral drag A absolute value</t>
  </si>
  <si>
    <t>trans_B_coef_Npkph</t>
  </si>
  <si>
    <t>Neutral drag B absolute value</t>
  </si>
  <si>
    <t>trans_C_coef_Npkph2</t>
  </si>
  <si>
    <t>Neutral drag C absolute value</t>
  </si>
  <si>
    <t>trans_delta_A</t>
  </si>
  <si>
    <t>Calculated from absolute, or direct delta input</t>
  </si>
  <si>
    <t>trans_delta_B</t>
  </si>
  <si>
    <t>trans_delta_C</t>
  </si>
  <si>
    <t>trans_loss_pct</t>
  </si>
  <si>
    <t>Percent-based transmission loss request</t>
  </si>
  <si>
    <t>brake_A_coef_N</t>
  </si>
  <si>
    <t>Brake drag A absolute</t>
  </si>
  <si>
    <t>brake_B_Npkph</t>
  </si>
  <si>
    <t>Brake drag B absolute</t>
  </si>
  <si>
    <t>brake_C_coef_Npkph2</t>
  </si>
  <si>
    <t>Brake drag C absolute</t>
  </si>
  <si>
    <t>brake_delta_A</t>
  </si>
  <si>
    <t>brake_delta_B</t>
  </si>
  <si>
    <t>brake_delta_C</t>
  </si>
  <si>
    <t>residual_torque_front_Nm</t>
  </si>
  <si>
    <t>Residual torque support</t>
  </si>
  <si>
    <t>residual_torque_rear_Nm</t>
  </si>
  <si>
    <t>residual_torque_total_Nm</t>
  </si>
  <si>
    <t>wheel_radius_m</t>
  </si>
  <si>
    <t>Used with torque to derive drag force</t>
  </si>
  <si>
    <t>brake_drag_force_N</t>
  </si>
  <si>
    <t>Direct drag-force support</t>
  </si>
  <si>
    <t>axle_hub_A</t>
  </si>
  <si>
    <t>Absolute A</t>
  </si>
  <si>
    <t>axle_hub_B</t>
  </si>
  <si>
    <t>Absolute B</t>
  </si>
  <si>
    <t>axle_hub_C</t>
  </si>
  <si>
    <t>Absolute C</t>
  </si>
  <si>
    <t>axle_hub_delta_A</t>
  </si>
  <si>
    <t>axle_hub_delta_B</t>
  </si>
  <si>
    <t>axle_hub_delta_C</t>
  </si>
  <si>
    <t>parasitic_A_coef_N</t>
  </si>
  <si>
    <t>parasitic_B_Npkph</t>
  </si>
  <si>
    <t>parasitic_C_coef_Npkph2</t>
  </si>
  <si>
    <t>parasitic_delta_A</t>
  </si>
  <si>
    <t>parasitic_delta_B</t>
  </si>
  <si>
    <t>parasitic_delta_C</t>
  </si>
  <si>
    <t>domain</t>
  </si>
  <si>
    <t>unit_default</t>
  </si>
  <si>
    <t>role</t>
  </si>
  <si>
    <t>compact_or_advanced</t>
  </si>
  <si>
    <t>notes</t>
  </si>
  <si>
    <t>scenario</t>
  </si>
  <si>
    <t>metadata</t>
  </si>
  <si>
    <t>none</t>
  </si>
  <si>
    <t>compact</t>
  </si>
  <si>
    <t>Proposal label / description</t>
  </si>
  <si>
    <t>selected_baseline_vde_id</t>
  </si>
  <si>
    <t>Printed baseline id when available</t>
  </si>
  <si>
    <t>walk_from</t>
  </si>
  <si>
    <t>Requested #2 may walk from Baseline or Requested #1</t>
  </si>
  <si>
    <t>legislation</t>
  </si>
  <si>
    <t>EPA / WLTP / ABNT</t>
  </si>
  <si>
    <t>category</t>
  </si>
  <si>
    <t>Vehicle class/category</t>
  </si>
  <si>
    <t>make</t>
  </si>
  <si>
    <t>Vehicle make</t>
  </si>
  <si>
    <t>model</t>
  </si>
  <si>
    <t>Vehicle model</t>
  </si>
  <si>
    <t>year</t>
  </si>
  <si>
    <t>Vehicle year</t>
  </si>
  <si>
    <t>electrification</t>
  </si>
  <si>
    <t>ICE / HEV / PHEV / BEV</t>
  </si>
  <si>
    <t>transmission_type</t>
  </si>
  <si>
    <t>AT / CVT / MT / etc.</t>
  </si>
  <si>
    <t>drive_type</t>
  </si>
  <si>
    <t>advanced</t>
  </si>
  <si>
    <t>FWD / RWD / AWD / 4WD</t>
  </si>
  <si>
    <t>fuel_type</t>
  </si>
  <si>
    <t>Fuel type if relevant</t>
  </si>
  <si>
    <t>cycle_name</t>
  </si>
  <si>
    <t>FTP75 / HWFET / WLTP / uploaded</t>
  </si>
  <si>
    <t>cycle_source</t>
  </si>
  <si>
    <t>standard / uploaded</t>
  </si>
  <si>
    <t>mass_proposal_type</t>
  </si>
  <si>
    <t>mass</t>
  </si>
  <si>
    <t>proposal_type</t>
  </si>
  <si>
    <t>Choose the mass logic; support fields below provide values</t>
  </si>
  <si>
    <t>aero_proposal_type</t>
  </si>
  <si>
    <t>aero</t>
  </si>
  <si>
    <t>Choose aero logic</t>
  </si>
  <si>
    <t>tire_proposal_type</t>
  </si>
  <si>
    <t>tire</t>
  </si>
  <si>
    <t>Choose tire logic</t>
  </si>
  <si>
    <t>transmission_proposal_type</t>
  </si>
  <si>
    <t>transmission</t>
  </si>
  <si>
    <t>Choose transmission/neutral drag logic</t>
  </si>
  <si>
    <t>brake_proposal_type</t>
  </si>
  <si>
    <t>brake</t>
  </si>
  <si>
    <t>Choose brake logic</t>
  </si>
  <si>
    <t>axle_hubs_proposal_type</t>
  </si>
  <si>
    <t>axle_hubs</t>
  </si>
  <si>
    <t>Choose axle/hub logic</t>
  </si>
  <si>
    <t>parasitic_proposal_type</t>
  </si>
  <si>
    <t>parasitic</t>
  </si>
  <si>
    <t>Choose parasitic-loss logic</t>
  </si>
  <si>
    <t>abc_total_source_ui</t>
  </si>
  <si>
    <t>roadload</t>
  </si>
  <si>
    <t>input</t>
  </si>
  <si>
    <t>Baseline ABC / From test coastdown / Component Build-up</t>
  </si>
  <si>
    <t>spreadsheet_roadload_total_source</t>
  </si>
  <si>
    <t>measured/manual/baseline</t>
  </si>
  <si>
    <t>test_mass_basis</t>
  </si>
  <si>
    <t>EPA_INERTIA_CLASS / WLTP_TMH / CUSTOM / etc.</t>
  </si>
  <si>
    <t>wltp_category</t>
  </si>
  <si>
    <t>WLTP category for WLTP mass line</t>
  </si>
  <si>
    <t>tire_load_mass_basis</t>
  </si>
  <si>
    <t>TEST_MASS / TWC</t>
  </si>
  <si>
    <t>mass_delta_class_point</t>
  </si>
  <si>
    <t>Low / Mid / Top target within selected class</t>
  </si>
  <si>
    <t>calculated</t>
  </si>
  <si>
    <t>trailer_code</t>
  </si>
  <si>
    <t>trailer</t>
  </si>
  <si>
    <t>MANUAL or trailer preset code</t>
  </si>
  <si>
    <t>aero_calculation_mode</t>
  </si>
  <si>
    <t>Inherited / Absolute / Delta</t>
  </si>
  <si>
    <t>cda_source</t>
  </si>
  <si>
    <t>manual/derived/baseline</t>
  </si>
  <si>
    <t>component_mode_tires</t>
  </si>
  <si>
    <t>Lookup from DB / manual / inherit</t>
  </si>
  <si>
    <t>tire_code</t>
  </si>
  <si>
    <t>Tire test/code label</t>
  </si>
  <si>
    <t>tire_db_id</t>
  </si>
  <si>
    <t>Optional tire DB row id</t>
  </si>
  <si>
    <t>tire_size</t>
  </si>
  <si>
    <t>Tire size code</t>
  </si>
  <si>
    <t>tire_manual_delta_rr_notes</t>
  </si>
  <si>
    <t>Tire provenance/notes</t>
  </si>
  <si>
    <t>transmission_mode</t>
  </si>
  <si>
    <t>Inherit / absolute ABC / delta ABC / percent</t>
  </si>
  <si>
    <t>transmission_losses_source</t>
  </si>
  <si>
    <t>Baseline / Manual / Missing</t>
  </si>
  <si>
    <t>percent_basis</t>
  </si>
  <si>
    <t>Basis for percent mode</t>
  </si>
  <si>
    <t>component_mode_brakes</t>
  </si>
  <si>
    <t>Inherit / absolute / delta / not used</t>
  </si>
  <si>
    <t>brake_temp_condition</t>
  </si>
  <si>
    <t>Test condition</t>
  </si>
  <si>
    <t>brake_release_condition</t>
  </si>
  <si>
    <t>Release condition</t>
  </si>
  <si>
    <t>caliper_drag_status</t>
  </si>
  <si>
    <t>Audit status</t>
  </si>
  <si>
    <t>pad_drag_status</t>
  </si>
  <si>
    <t>parking_brake_drag_flag</t>
  </si>
  <si>
    <t>true / false</t>
  </si>
  <si>
    <t>axle_hub_mode</t>
  </si>
  <si>
    <t>Inherit / absolute / delta ABC / not used</t>
  </si>
  <si>
    <t>parasitic_mode</t>
  </si>
  <si>
    <t>MassProposalTypes</t>
  </si>
  <si>
    <t>AeroProposalTypes</t>
  </si>
  <si>
    <t>TireProposalTypes</t>
  </si>
  <si>
    <t>TransmissionProposalTypes</t>
  </si>
  <si>
    <t>BrakeProposalTypes</t>
  </si>
  <si>
    <t>AxleHubProposalTypes</t>
  </si>
  <si>
    <t>ParasiticProposalTypes</t>
  </si>
  <si>
    <t>WalkFrom</t>
  </si>
  <si>
    <t>TransmissionType</t>
  </si>
  <si>
    <t>DriveType</t>
  </si>
  <si>
    <t>FuelType</t>
  </si>
  <si>
    <t>TestMassBasis</t>
  </si>
  <si>
    <t>TireLoadMassBasis</t>
  </si>
  <si>
    <t>TWCPoint</t>
  </si>
  <si>
    <t>AeroModes</t>
  </si>
  <si>
    <t>TireModes</t>
  </si>
  <si>
    <t>TransmissionModes</t>
  </si>
  <si>
    <t>BrakeModes</t>
  </si>
  <si>
    <t>AxleHubModes</t>
  </si>
  <si>
    <t>ParasiticModes</t>
  </si>
  <si>
    <t>Inherit</t>
  </si>
  <si>
    <t>Baseline</t>
  </si>
  <si>
    <t>EPA</t>
  </si>
  <si>
    <t>ICE</t>
  </si>
  <si>
    <t>AT</t>
  </si>
  <si>
    <t>FWD</t>
  </si>
  <si>
    <t>GASOLINE</t>
  </si>
  <si>
    <t>EPA_INERTIA_CLASS</t>
  </si>
  <si>
    <t>TEST_MASS</t>
  </si>
  <si>
    <t>Low</t>
  </si>
  <si>
    <t>Inherited</t>
  </si>
  <si>
    <t>Keep inherited</t>
  </si>
  <si>
    <t>EPA status mass</t>
  </si>
  <si>
    <t>Absolute CdA</t>
  </si>
  <si>
    <t>Lookup from DB</t>
  </si>
  <si>
    <t>Absolute ABC</t>
  </si>
  <si>
    <t>WLTP</t>
  </si>
  <si>
    <t>HEV</t>
  </si>
  <si>
    <t>AMT</t>
  </si>
  <si>
    <t>RWD</t>
  </si>
  <si>
    <t>ETHANOL</t>
  </si>
  <si>
    <t>WLTP_TMH</t>
  </si>
  <si>
    <t>TWC</t>
  </si>
  <si>
    <t>Mid</t>
  </si>
  <si>
    <t>Absolute</t>
  </si>
  <si>
    <t>TWC shift</t>
  </si>
  <si>
    <t>Manual RRC</t>
  </si>
  <si>
    <t>Delta ABC</t>
  </si>
  <si>
    <t>ABNT (Brazil)</t>
  </si>
  <si>
    <t>PHEV</t>
  </si>
  <si>
    <t>CVT</t>
  </si>
  <si>
    <t>AWD</t>
  </si>
  <si>
    <t>FLEX</t>
  </si>
  <si>
    <t>WLTP_TML</t>
  </si>
  <si>
    <t>Top</t>
  </si>
  <si>
    <t>Delta</t>
  </si>
  <si>
    <t>Manual RR</t>
  </si>
  <si>
    <t>Missing</t>
  </si>
  <si>
    <t>Performance curb mass</t>
  </si>
  <si>
    <t>Tire Improvement %</t>
  </si>
  <si>
    <t>Transmission Loss %</t>
  </si>
  <si>
    <t>Residual torque</t>
  </si>
  <si>
    <t>Not used</t>
  </si>
  <si>
    <t>BEV</t>
  </si>
  <si>
    <t>MT</t>
  </si>
  <si>
    <t>4WD</t>
  </si>
  <si>
    <t>DIESEL</t>
  </si>
  <si>
    <t>GVWR</t>
  </si>
  <si>
    <t>WLTP mass line</t>
  </si>
  <si>
    <t>Walked tire comparison</t>
  </si>
  <si>
    <t>OT</t>
  </si>
  <si>
    <t>ELECTRIC</t>
  </si>
  <si>
    <t>GCWR_TRAILER</t>
  </si>
  <si>
    <t>GVWR loaded mass</t>
  </si>
  <si>
    <t>CNG</t>
  </si>
  <si>
    <t>GCWR / trailer mass</t>
  </si>
  <si>
    <t>LPG</t>
  </si>
  <si>
    <t>CURB</t>
  </si>
  <si>
    <t>Custom test mass</t>
  </si>
  <si>
    <t>HYDROGEN</t>
  </si>
  <si>
    <t>PHYSICAL_TEST_MASS</t>
  </si>
  <si>
    <t>CUSTOM</t>
  </si>
  <si>
    <t>Rule</t>
  </si>
  <si>
    <t>Frozen behavior</t>
  </si>
  <si>
    <t>REQUEST structure</t>
  </si>
  <si>
    <t>Rows are UI fields; columns are Baseline / Printed and independent Requested configs.</t>
  </si>
  <si>
    <t>Mass refactor</t>
  </si>
  <si>
    <t>GVWR, GCWR, TWC shift, WLTP mass line and custom mass are options in Mass proposal type, not separate proposal rows.</t>
  </si>
  <si>
    <t>Mass support fields</t>
  </si>
  <si>
    <t>Mass Profile GVWR/GCWR/Trailer/Custom are support inputs activated by the selected Mass proposal type.</t>
  </si>
  <si>
    <t>Blank cells</t>
  </si>
  <si>
    <t>Blank requested cells mean inherit/no request.</t>
  </si>
  <si>
    <t>Zero</t>
  </si>
  <si>
    <t>0 is an explicit numeric request and must not be treated as blank.</t>
  </si>
  <si>
    <t>Baseline Override is No/Yes. Values are edited in Baseline / Printed, not in the override column.</t>
  </si>
  <si>
    <t>DB persistence</t>
  </si>
  <si>
    <t>Baseline overrides are calculation/request references until Review &amp; Save decides persistence.</t>
  </si>
  <si>
    <t>Absolute numeric fields</t>
  </si>
  <si>
    <t>delta = requested_absolute - effective_baseline.</t>
  </si>
  <si>
    <t>Missing baseline</t>
  </si>
  <si>
    <t>Displayed as missing/blank. For delta preview only, missing baseline is treated as 0; status is Review.</t>
  </si>
  <si>
    <t>Requested cells are select lists by domain; Baseline / Printed stays Reference.</t>
  </si>
  <si>
    <t>Units</t>
  </si>
  <si>
    <t>Default parser units are the first option in each unit list; alternate units require conversion.</t>
  </si>
  <si>
    <t>Requested #5</t>
  </si>
  <si>
    <t>Requested #6</t>
  </si>
  <si>
    <t>Requested #7</t>
  </si>
  <si>
    <t>Requested #8</t>
  </si>
  <si>
    <t>Requested #9</t>
  </si>
  <si>
    <t>Requested #10</t>
  </si>
  <si>
    <t>Transmission ID Component DB</t>
  </si>
  <si>
    <t>Brake ID Component DB</t>
  </si>
  <si>
    <t>Axle &amp; Hubs ID Component DB</t>
  </si>
  <si>
    <t>Parasitic ID Component DB</t>
  </si>
  <si>
    <t>Trailer DB ID</t>
  </si>
  <si>
    <t>VDE DB ID (Use Vehicle Ref.)</t>
  </si>
  <si>
    <t>Baseline Correction</t>
  </si>
  <si>
    <t>Available</t>
  </si>
  <si>
    <t>Residual Torque</t>
  </si>
  <si>
    <t>N.m</t>
  </si>
  <si>
    <t>Test Temperature</t>
  </si>
  <si>
    <t>Pressure</t>
  </si>
  <si>
    <t xml:space="preserve">For register new component type "New" and fill ABCs </t>
  </si>
  <si>
    <t>Tire Selling Code</t>
  </si>
  <si>
    <t xml:space="preserve">For register new component type "New" and fill RRC or SMERF+Pressure </t>
  </si>
  <si>
    <t>New</t>
  </si>
  <si>
    <t>Existent</t>
  </si>
  <si>
    <t>DD</t>
  </si>
  <si>
    <t>CURB_PLUS_100</t>
  </si>
  <si>
    <t xml:space="preserve">Baseline considered at Standard Conditions whether empty </t>
  </si>
  <si>
    <t>CURB_PLUS_EPA_STD</t>
  </si>
  <si>
    <t>TEST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</si>
</sst>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1"/>
      <color rgb="FF1E3A8A"/>
      <name val="Carlito"/>
    </font>
    <font>
      <b/>
      <i/>
      <sz val="11"/>
      <color rgb="FF334155"/>
      <name val="Carlito"/>
    </font>
    <font>
      <b/>
      <sz val="11"/>
      <name val="Carlito"/>
    </font>
    <font>
      <i/>
      <sz val="11"/>
      <name val="Carlito"/>
    </font>
    <font>
      <b/>
      <sz val="14"/>
      <color theme="0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0F766E"/>
      </patternFill>
    </fill>
    <fill>
      <patternFill patternType="solid">
        <fgColor rgb="FF334155"/>
      </patternFill>
    </fill>
    <fill>
      <patternFill patternType="solid">
        <fgColor rgb="FF991B1B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0" fillId="9" borderId="1" xfId="0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0" fillId="9" borderId="0" xfId="0" applyFill="1"/>
    <xf numFmtId="0" fontId="3" fillId="10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0" fillId="11" borderId="0" xfId="0" applyFill="1"/>
  </cellXfs>
  <cellStyles count="2">
    <cellStyle name="Normal" xfId="0" builtinId="0"/>
    <cellStyle name="Porcentagem" xfId="1" builtinId="5"/>
  </cellStyles>
  <dxfs count="3">
    <dxf>
      <fill>
        <patternFill patternType="solid">
          <bgColor rgb="FFECFDF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ill>
        <patternFill patternType="solid"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EF8D-6132-48D5-B144-13875925E248}">
  <dimension ref="A1:O97"/>
  <sheetViews>
    <sheetView topLeftCell="A65" workbookViewId="0">
      <selection activeCell="F92" sqref="F92"/>
    </sheetView>
  </sheetViews>
  <sheetFormatPr defaultRowHeight="14.25"/>
  <cols>
    <col min="1" max="1" width="60.375" customWidth="1"/>
    <col min="2" max="2" width="29.75" bestFit="1" customWidth="1"/>
    <col min="3" max="3" width="6.125" bestFit="1" customWidth="1"/>
    <col min="4" max="4" width="16.75" bestFit="1" customWidth="1"/>
    <col min="5" max="5" width="18.875" bestFit="1" customWidth="1"/>
    <col min="6" max="14" width="13.25" bestFit="1" customWidth="1"/>
    <col min="15" max="15" width="14.25" bestFit="1" customWidth="1"/>
  </cols>
  <sheetData>
    <row r="1" spans="1:15" ht="36">
      <c r="A1" s="24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20" t="s">
        <v>1</v>
      </c>
      <c r="B2" s="17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5">
      <c r="A3" s="12"/>
      <c r="B3" s="18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15">
      <c r="A4" s="21" t="s">
        <v>2</v>
      </c>
      <c r="B4" s="13" t="s">
        <v>3</v>
      </c>
      <c r="C4" s="13" t="s">
        <v>4</v>
      </c>
      <c r="D4" s="13" t="s">
        <v>5</v>
      </c>
      <c r="E4" s="13" t="s">
        <v>475</v>
      </c>
      <c r="F4" s="28" t="s">
        <v>7</v>
      </c>
      <c r="G4" s="28" t="s">
        <v>8</v>
      </c>
      <c r="H4" s="28" t="s">
        <v>9</v>
      </c>
      <c r="I4" s="28" t="s">
        <v>10</v>
      </c>
      <c r="J4" s="28" t="s">
        <v>463</v>
      </c>
      <c r="K4" s="28" t="s">
        <v>464</v>
      </c>
      <c r="L4" s="28" t="s">
        <v>465</v>
      </c>
      <c r="M4" s="28" t="s">
        <v>466</v>
      </c>
      <c r="N4" s="28" t="s">
        <v>467</v>
      </c>
      <c r="O4" s="28" t="s">
        <v>468</v>
      </c>
    </row>
    <row r="5" spans="1:15" ht="15">
      <c r="A5" s="22" t="s">
        <v>11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ht="15">
      <c r="A6" s="15"/>
      <c r="B6" s="19" t="s">
        <v>12</v>
      </c>
      <c r="C6" s="15" t="s">
        <v>13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15">
      <c r="A7" s="15"/>
      <c r="B7" s="19" t="s">
        <v>15</v>
      </c>
      <c r="C7" s="15" t="s">
        <v>13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s="27" customFormat="1" ht="15">
      <c r="A8" s="25"/>
      <c r="B8" s="26" t="s">
        <v>16</v>
      </c>
      <c r="C8" s="25" t="s">
        <v>13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ht="15">
      <c r="A9" s="15"/>
      <c r="B9" s="19" t="s">
        <v>17</v>
      </c>
      <c r="C9" s="15" t="s">
        <v>13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15">
      <c r="A10" s="15"/>
      <c r="B10" s="19" t="s">
        <v>18</v>
      </c>
      <c r="C10" s="15" t="s">
        <v>13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15">
      <c r="A11" s="15"/>
      <c r="B11" s="19" t="s">
        <v>19</v>
      </c>
      <c r="C11" s="15" t="s">
        <v>13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15">
      <c r="A12" s="15"/>
      <c r="B12" s="19" t="s">
        <v>20</v>
      </c>
      <c r="C12" s="15" t="s">
        <v>13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15">
      <c r="A13" s="15"/>
      <c r="B13" s="19" t="s">
        <v>21</v>
      </c>
      <c r="C13" s="15" t="s">
        <v>13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5">
      <c r="A14" s="15"/>
      <c r="B14" s="19" t="s">
        <v>22</v>
      </c>
      <c r="C14" s="15" t="s">
        <v>13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15">
      <c r="A15" s="15"/>
      <c r="B15" s="19" t="s">
        <v>23</v>
      </c>
      <c r="C15" s="15" t="s">
        <v>13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15">
      <c r="A16" s="15"/>
      <c r="B16" s="19" t="s">
        <v>24</v>
      </c>
      <c r="C16" s="15" t="s">
        <v>13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5">
      <c r="A17" s="15"/>
      <c r="B17" s="19" t="s">
        <v>25</v>
      </c>
      <c r="C17" s="15" t="s">
        <v>13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5">
      <c r="A18" s="15"/>
      <c r="B18" s="19" t="s">
        <v>26</v>
      </c>
      <c r="C18" s="15" t="s">
        <v>13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15">
      <c r="A19" s="15"/>
      <c r="B19" s="19" t="s">
        <v>27</v>
      </c>
      <c r="C19" s="15" t="s">
        <v>13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5">
      <c r="A20" s="22" t="s">
        <v>28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">
      <c r="A21" s="15"/>
      <c r="B21" s="19" t="s">
        <v>29</v>
      </c>
      <c r="C21" s="15" t="s">
        <v>13</v>
      </c>
      <c r="D21" s="23" t="s">
        <v>476</v>
      </c>
      <c r="E21" s="23" t="str">
        <f>IF(COUNTIF(E38:E54,"")&gt;0,"-","Updated")</f>
        <v>-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">
      <c r="A22" s="15"/>
      <c r="B22" s="19" t="s">
        <v>31</v>
      </c>
      <c r="C22" s="15" t="s">
        <v>13</v>
      </c>
      <c r="D22" s="23" t="s">
        <v>476</v>
      </c>
      <c r="E22" s="23" t="str">
        <f>IF(COUNTIF(E56:E58,"")&gt;0,"-","Updated")</f>
        <v>-</v>
      </c>
      <c r="F22" s="16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5">
      <c r="A23" s="15"/>
      <c r="B23" s="19" t="s">
        <v>32</v>
      </c>
      <c r="C23" s="15" t="s">
        <v>13</v>
      </c>
      <c r="D23" s="23" t="s">
        <v>476</v>
      </c>
      <c r="E23" s="23" t="str">
        <f>IF(COUNTIF(E60:E70,"")&gt;0,"-","Updated")</f>
        <v>-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5">
      <c r="A24" s="15"/>
      <c r="B24" s="19" t="s">
        <v>33</v>
      </c>
      <c r="C24" s="15" t="s">
        <v>13</v>
      </c>
      <c r="D24" s="23" t="s">
        <v>476</v>
      </c>
      <c r="E24" s="23" t="str">
        <f>IF(COUNTIF(E72:E78,"")&gt;0,"-","Updated")</f>
        <v>-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5">
      <c r="A25" s="15"/>
      <c r="B25" s="19" t="s">
        <v>34</v>
      </c>
      <c r="C25" s="15" t="s">
        <v>13</v>
      </c>
      <c r="D25" s="23" t="s">
        <v>476</v>
      </c>
      <c r="E25" s="23" t="str">
        <f>IF(COUNTIF(E80:E85,"")&gt;0,"-","Updated")</f>
        <v>-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5">
      <c r="A26" s="15"/>
      <c r="B26" s="19" t="s">
        <v>35</v>
      </c>
      <c r="C26" s="15" t="s">
        <v>13</v>
      </c>
      <c r="D26" s="23" t="s">
        <v>476</v>
      </c>
      <c r="E26" s="23" t="str">
        <f>IF(COUNTIF(E87:E91,"")&gt;0,"-","Updated")</f>
        <v>-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5">
      <c r="A27" s="15"/>
      <c r="B27" s="19" t="s">
        <v>36</v>
      </c>
      <c r="C27" s="15" t="s">
        <v>13</v>
      </c>
      <c r="D27" s="23" t="s">
        <v>476</v>
      </c>
      <c r="E27" s="23" t="str">
        <f>IF(COUNTIF(E93:E97,"")&gt;0,"-","Updated")</f>
        <v>-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5">
      <c r="A28" s="22" t="s">
        <v>37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">
      <c r="A29" s="15"/>
      <c r="B29" s="19" t="s">
        <v>38</v>
      </c>
      <c r="C29" s="15" t="s">
        <v>13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5">
      <c r="A30" s="15"/>
      <c r="B30" s="19" t="s">
        <v>39</v>
      </c>
      <c r="C30" s="15" t="s">
        <v>40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5">
      <c r="A31" s="15"/>
      <c r="B31" s="19" t="s">
        <v>41</v>
      </c>
      <c r="C31" s="15" t="s">
        <v>42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5">
      <c r="A32" s="15"/>
      <c r="B32" s="19" t="s">
        <v>43</v>
      </c>
      <c r="C32" s="15" t="s">
        <v>44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5">
      <c r="A33" s="15"/>
      <c r="B33" s="19" t="s">
        <v>45</v>
      </c>
      <c r="C33" s="15" t="s">
        <v>13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s="32" customFormat="1" ht="15">
      <c r="A34" s="31" t="s">
        <v>490</v>
      </c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spans="1:15" ht="15">
      <c r="A35" s="15" t="s">
        <v>488</v>
      </c>
      <c r="B35" s="19" t="s">
        <v>479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5">
      <c r="A36" s="15"/>
      <c r="B36" s="19" t="s">
        <v>480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5">
      <c r="A37" s="22" t="s">
        <v>46</v>
      </c>
      <c r="B37" s="14"/>
      <c r="C37" s="14"/>
      <c r="D37" s="14"/>
      <c r="E37" s="14"/>
      <c r="F37" s="14" t="str">
        <f>IF(F$21&lt;&gt;0,F$21,"")</f>
        <v/>
      </c>
      <c r="G37" s="14" t="str">
        <f t="shared" ref="G37:O37" si="0">IF(G$21&lt;&gt;0,G$21,"")</f>
        <v/>
      </c>
      <c r="H37" s="14" t="str">
        <f t="shared" si="0"/>
        <v/>
      </c>
      <c r="I37" s="14" t="str">
        <f t="shared" si="0"/>
        <v/>
      </c>
      <c r="J37" s="14" t="str">
        <f t="shared" si="0"/>
        <v/>
      </c>
      <c r="K37" s="14" t="str">
        <f t="shared" si="0"/>
        <v/>
      </c>
      <c r="L37" s="14" t="str">
        <f t="shared" si="0"/>
        <v/>
      </c>
      <c r="M37" s="14" t="str">
        <f t="shared" si="0"/>
        <v/>
      </c>
      <c r="N37" s="14" t="str">
        <f t="shared" si="0"/>
        <v/>
      </c>
      <c r="O37" s="14" t="str">
        <f t="shared" si="0"/>
        <v/>
      </c>
    </row>
    <row r="38" spans="1:15" ht="15">
      <c r="A38" s="15"/>
      <c r="B38" s="19" t="s">
        <v>47</v>
      </c>
      <c r="C38" s="15" t="s">
        <v>48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5">
      <c r="A39" s="15"/>
      <c r="B39" s="19" t="s">
        <v>49</v>
      </c>
      <c r="C39" s="15" t="s">
        <v>48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5">
      <c r="A40" s="15"/>
      <c r="B40" s="19" t="s">
        <v>50</v>
      </c>
      <c r="C40" s="15" t="s">
        <v>13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5">
      <c r="A41" s="15"/>
      <c r="B41" s="19" t="s">
        <v>51</v>
      </c>
      <c r="C41" s="15" t="s">
        <v>48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5">
      <c r="A42" s="15"/>
      <c r="B42" s="19" t="s">
        <v>52</v>
      </c>
      <c r="C42" s="15" t="s">
        <v>48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5">
      <c r="A43" s="15"/>
      <c r="B43" s="19" t="s">
        <v>54</v>
      </c>
      <c r="C43" s="15" t="s">
        <v>55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spans="1:15" ht="15">
      <c r="A44" s="15"/>
      <c r="B44" s="19" t="s">
        <v>56</v>
      </c>
      <c r="C44" s="15" t="s">
        <v>13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5">
      <c r="A45" s="15"/>
      <c r="B45" s="19" t="s">
        <v>57</v>
      </c>
      <c r="C45" s="15" t="s">
        <v>13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5">
      <c r="A46" s="15"/>
      <c r="B46" s="19" t="s">
        <v>58</v>
      </c>
      <c r="C46" s="15" t="s">
        <v>13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5">
      <c r="A47" s="15"/>
      <c r="B47" s="19" t="s">
        <v>59</v>
      </c>
      <c r="C47" s="15" t="s">
        <v>13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5">
      <c r="A48" s="22" t="s">
        <v>65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">
      <c r="A49" s="15"/>
      <c r="B49" s="19" t="s">
        <v>66</v>
      </c>
      <c r="C49" s="15" t="s">
        <v>13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5">
      <c r="A50" s="15"/>
      <c r="B50" s="19" t="s">
        <v>473</v>
      </c>
      <c r="C50" s="15" t="s">
        <v>13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5">
      <c r="A51" s="15"/>
      <c r="B51" s="19" t="s">
        <v>62</v>
      </c>
      <c r="C51" s="15" t="s">
        <v>48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5">
      <c r="A52" s="15"/>
      <c r="B52" s="19" t="s">
        <v>67</v>
      </c>
      <c r="C52" s="15" t="s">
        <v>40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5">
      <c r="A53" s="15"/>
      <c r="B53" s="19" t="s">
        <v>68</v>
      </c>
      <c r="C53" s="15" t="s">
        <v>42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5">
      <c r="A54" s="15"/>
      <c r="B54" s="19" t="s">
        <v>69</v>
      </c>
      <c r="C54" s="15" t="s">
        <v>44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5">
      <c r="A55" s="22" t="s">
        <v>70</v>
      </c>
      <c r="B55" s="14"/>
      <c r="C55" s="14"/>
      <c r="D55" s="14"/>
      <c r="E55" s="14"/>
      <c r="F55" s="14" t="str">
        <f>IF(F$22&lt;&gt;0,F$22,"")</f>
        <v/>
      </c>
      <c r="G55" s="14" t="str">
        <f t="shared" ref="G55:O55" si="1">IF(G$22&lt;&gt;0,G$22,"")</f>
        <v/>
      </c>
      <c r="H55" s="14" t="str">
        <f t="shared" si="1"/>
        <v/>
      </c>
      <c r="I55" s="14" t="str">
        <f t="shared" si="1"/>
        <v/>
      </c>
      <c r="J55" s="14" t="str">
        <f t="shared" si="1"/>
        <v/>
      </c>
      <c r="K55" s="14" t="str">
        <f t="shared" si="1"/>
        <v/>
      </c>
      <c r="L55" s="14" t="str">
        <f t="shared" si="1"/>
        <v/>
      </c>
      <c r="M55" s="14" t="str">
        <f t="shared" si="1"/>
        <v/>
      </c>
      <c r="N55" s="14" t="str">
        <f t="shared" si="1"/>
        <v/>
      </c>
      <c r="O55" s="14" t="str">
        <f t="shared" si="1"/>
        <v/>
      </c>
    </row>
    <row r="56" spans="1:15" ht="15">
      <c r="A56" s="15"/>
      <c r="B56" s="19" t="s">
        <v>72</v>
      </c>
      <c r="C56" s="15" t="s">
        <v>73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5">
      <c r="A57" s="15"/>
      <c r="B57" s="19" t="s">
        <v>76</v>
      </c>
      <c r="C57" s="15" t="s">
        <v>73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5">
      <c r="A58" s="15"/>
      <c r="B58" s="19" t="s">
        <v>77</v>
      </c>
      <c r="C58" s="15" t="s">
        <v>13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5">
      <c r="A59" s="22" t="s">
        <v>78</v>
      </c>
      <c r="B59" s="14"/>
      <c r="C59" s="14"/>
      <c r="D59" s="14"/>
      <c r="E59" s="14"/>
      <c r="F59" s="14" t="str">
        <f>IF(F$23&lt;&gt;0,F$23,"")</f>
        <v/>
      </c>
      <c r="G59" s="14" t="str">
        <f t="shared" ref="G59:O59" si="2">IF(G$23&lt;&gt;0,G$23,"")</f>
        <v/>
      </c>
      <c r="H59" s="14" t="str">
        <f t="shared" si="2"/>
        <v/>
      </c>
      <c r="I59" s="14" t="str">
        <f t="shared" si="2"/>
        <v/>
      </c>
      <c r="J59" s="14" t="str">
        <f t="shared" si="2"/>
        <v/>
      </c>
      <c r="K59" s="14" t="str">
        <f t="shared" si="2"/>
        <v/>
      </c>
      <c r="L59" s="14" t="str">
        <f t="shared" si="2"/>
        <v/>
      </c>
      <c r="M59" s="14" t="str">
        <f t="shared" si="2"/>
        <v/>
      </c>
      <c r="N59" s="14" t="str">
        <f t="shared" si="2"/>
        <v/>
      </c>
      <c r="O59" s="14" t="str">
        <f t="shared" si="2"/>
        <v/>
      </c>
    </row>
    <row r="60" spans="1:15" ht="15">
      <c r="A60" s="15" t="s">
        <v>483</v>
      </c>
      <c r="B60" s="19" t="s">
        <v>482</v>
      </c>
      <c r="C60" s="15" t="s">
        <v>13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5">
      <c r="A61" s="15"/>
      <c r="B61" s="19" t="s">
        <v>81</v>
      </c>
      <c r="C61" s="15" t="s">
        <v>13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5">
      <c r="A62" s="15"/>
      <c r="B62" s="19" t="s">
        <v>82</v>
      </c>
      <c r="C62" s="15" t="s">
        <v>13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5">
      <c r="A63" s="15"/>
      <c r="B63" s="19" t="s">
        <v>83</v>
      </c>
      <c r="C63" s="15" t="s">
        <v>84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5">
      <c r="A64" s="15"/>
      <c r="B64" s="19" t="s">
        <v>85</v>
      </c>
      <c r="C64" s="15" t="s">
        <v>84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5">
      <c r="A65" s="15"/>
      <c r="B65" s="19" t="s">
        <v>86</v>
      </c>
      <c r="C65" s="15" t="s">
        <v>84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5">
      <c r="A66" s="15"/>
      <c r="B66" s="19" t="s">
        <v>87</v>
      </c>
      <c r="C66" s="15" t="s">
        <v>84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5">
      <c r="A67" s="15"/>
      <c r="B67" s="19" t="s">
        <v>88</v>
      </c>
      <c r="C67" s="15" t="s">
        <v>89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5">
      <c r="A68" s="15"/>
      <c r="B68" s="19" t="s">
        <v>90</v>
      </c>
      <c r="C68" s="15" t="s">
        <v>13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5">
      <c r="A69" s="15"/>
      <c r="B69" s="19" t="s">
        <v>91</v>
      </c>
      <c r="C69" s="15" t="s">
        <v>55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5">
      <c r="A70" s="15"/>
      <c r="B70" s="19" t="s">
        <v>92</v>
      </c>
      <c r="C70" s="15" t="s">
        <v>13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5">
      <c r="A71" s="22" t="s">
        <v>93</v>
      </c>
      <c r="B71" s="14"/>
      <c r="C71" s="14"/>
      <c r="D71" s="14"/>
      <c r="E71" s="14"/>
      <c r="F71" s="14" t="str">
        <f>IF(F$24&lt;&gt;0,F$24,"")</f>
        <v/>
      </c>
      <c r="G71" s="14" t="str">
        <f t="shared" ref="G71:O71" si="3">IF(G$24&lt;&gt;0,G$24,"")</f>
        <v/>
      </c>
      <c r="H71" s="14" t="str">
        <f t="shared" si="3"/>
        <v/>
      </c>
      <c r="I71" s="14" t="str">
        <f t="shared" si="3"/>
        <v/>
      </c>
      <c r="J71" s="14" t="str">
        <f t="shared" si="3"/>
        <v/>
      </c>
      <c r="K71" s="14" t="str">
        <f t="shared" si="3"/>
        <v/>
      </c>
      <c r="L71" s="14" t="str">
        <f t="shared" si="3"/>
        <v/>
      </c>
      <c r="M71" s="14" t="str">
        <f t="shared" si="3"/>
        <v/>
      </c>
      <c r="N71" s="14" t="str">
        <f t="shared" si="3"/>
        <v/>
      </c>
      <c r="O71" s="14" t="str">
        <f t="shared" si="3"/>
        <v/>
      </c>
    </row>
    <row r="72" spans="1:15" ht="15">
      <c r="A72" s="15" t="s">
        <v>481</v>
      </c>
      <c r="B72" s="19" t="s">
        <v>469</v>
      </c>
      <c r="C72" s="15" t="s">
        <v>13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5">
      <c r="A73" s="15"/>
      <c r="B73" s="19" t="s">
        <v>474</v>
      </c>
      <c r="C73" s="15" t="s">
        <v>13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5">
      <c r="A74" s="15"/>
      <c r="B74" s="19" t="s">
        <v>96</v>
      </c>
      <c r="C74" s="15" t="s">
        <v>40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5">
      <c r="A75" s="15"/>
      <c r="B75" s="19" t="s">
        <v>97</v>
      </c>
      <c r="C75" s="15" t="s">
        <v>42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5">
      <c r="A76" s="15"/>
      <c r="B76" s="19" t="s">
        <v>98</v>
      </c>
      <c r="C76" s="15" t="s">
        <v>44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5">
      <c r="A77" s="15"/>
      <c r="B77" s="19" t="s">
        <v>102</v>
      </c>
      <c r="C77" s="15" t="s">
        <v>55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>
      <c r="A78" s="15"/>
      <c r="B78" s="15" t="s">
        <v>103</v>
      </c>
      <c r="C78" s="15" t="s">
        <v>13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5">
      <c r="A79" s="22" t="s">
        <v>104</v>
      </c>
      <c r="B79" s="14"/>
      <c r="C79" s="14"/>
      <c r="D79" s="14"/>
      <c r="E79" s="14"/>
      <c r="F79" s="14" t="str">
        <f>IF(F$25&lt;&gt;0,F$25,"")</f>
        <v/>
      </c>
      <c r="G79" s="14" t="str">
        <f t="shared" ref="G79:O79" si="4">IF(G$25&lt;&gt;0,G$25,"")</f>
        <v/>
      </c>
      <c r="H79" s="14" t="str">
        <f t="shared" si="4"/>
        <v/>
      </c>
      <c r="I79" s="14" t="str">
        <f t="shared" si="4"/>
        <v/>
      </c>
      <c r="J79" s="14" t="str">
        <f t="shared" si="4"/>
        <v/>
      </c>
      <c r="K79" s="14" t="str">
        <f t="shared" si="4"/>
        <v/>
      </c>
      <c r="L79" s="14" t="str">
        <f t="shared" si="4"/>
        <v/>
      </c>
      <c r="M79" s="14" t="str">
        <f t="shared" si="4"/>
        <v/>
      </c>
      <c r="N79" s="14" t="str">
        <f t="shared" si="4"/>
        <v/>
      </c>
      <c r="O79" s="14" t="str">
        <f t="shared" si="4"/>
        <v/>
      </c>
    </row>
    <row r="80" spans="1:15" ht="15">
      <c r="A80" s="15" t="s">
        <v>481</v>
      </c>
      <c r="B80" s="19" t="s">
        <v>470</v>
      </c>
      <c r="C80" s="15" t="s">
        <v>13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5">
      <c r="A81" s="15"/>
      <c r="B81" s="19" t="s">
        <v>474</v>
      </c>
      <c r="C81" s="15" t="s">
        <v>13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5">
      <c r="A82" s="15"/>
      <c r="B82" s="19" t="s">
        <v>106</v>
      </c>
      <c r="C82" s="15" t="s">
        <v>40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5">
      <c r="A83" s="15"/>
      <c r="B83" s="19" t="s">
        <v>107</v>
      </c>
      <c r="C83" s="15" t="s">
        <v>42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5">
      <c r="A84" s="15"/>
      <c r="B84" s="19" t="s">
        <v>108</v>
      </c>
      <c r="C84" s="15" t="s">
        <v>44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5">
      <c r="A85" s="15"/>
      <c r="B85" s="19" t="s">
        <v>477</v>
      </c>
      <c r="C85" s="15" t="s">
        <v>478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5">
      <c r="A86" s="22" t="s">
        <v>124</v>
      </c>
      <c r="B86" s="14"/>
      <c r="C86" s="14"/>
      <c r="D86" s="14"/>
      <c r="E86" s="14"/>
      <c r="F86" s="14" t="str">
        <f>IF(F$26&lt;&gt;0,F$26,"")</f>
        <v/>
      </c>
      <c r="G86" s="14" t="str">
        <f t="shared" ref="G86:O86" si="5">IF(G$26&lt;&gt;0,G$26,"")</f>
        <v/>
      </c>
      <c r="H86" s="14" t="str">
        <f t="shared" si="5"/>
        <v/>
      </c>
      <c r="I86" s="14" t="str">
        <f t="shared" si="5"/>
        <v/>
      </c>
      <c r="J86" s="14" t="str">
        <f t="shared" si="5"/>
        <v/>
      </c>
      <c r="K86" s="14" t="str">
        <f t="shared" si="5"/>
        <v/>
      </c>
      <c r="L86" s="14" t="str">
        <f t="shared" si="5"/>
        <v/>
      </c>
      <c r="M86" s="14" t="str">
        <f t="shared" si="5"/>
        <v/>
      </c>
      <c r="N86" s="14" t="str">
        <f t="shared" si="5"/>
        <v/>
      </c>
      <c r="O86" s="14" t="str">
        <f t="shared" si="5"/>
        <v/>
      </c>
    </row>
    <row r="87" spans="1:15" ht="15">
      <c r="A87" s="15" t="s">
        <v>481</v>
      </c>
      <c r="B87" s="19" t="s">
        <v>471</v>
      </c>
      <c r="C87" s="15" t="s">
        <v>13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5">
      <c r="A88" s="15"/>
      <c r="B88" s="19" t="s">
        <v>474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5">
      <c r="A89" s="15"/>
      <c r="B89" s="19" t="s">
        <v>126</v>
      </c>
      <c r="C89" s="15" t="s">
        <v>40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5">
      <c r="A90" s="15"/>
      <c r="B90" s="19" t="s">
        <v>127</v>
      </c>
      <c r="C90" s="15" t="s">
        <v>42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5">
      <c r="A91" s="15"/>
      <c r="B91" s="19" t="s">
        <v>128</v>
      </c>
      <c r="C91" s="15" t="s">
        <v>44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5">
      <c r="A92" s="22" t="s">
        <v>132</v>
      </c>
      <c r="B92" s="14"/>
      <c r="C92" s="14"/>
      <c r="D92" s="14"/>
      <c r="E92" s="14"/>
      <c r="F92" s="14" t="str">
        <f>IF(F$27&lt;&gt;0,F$27,"")</f>
        <v/>
      </c>
      <c r="G92" s="14" t="str">
        <f t="shared" ref="G92:O92" si="6">IF(G$27&lt;&gt;0,G$27,"")</f>
        <v/>
      </c>
      <c r="H92" s="14" t="str">
        <f t="shared" si="6"/>
        <v/>
      </c>
      <c r="I92" s="14" t="str">
        <f t="shared" si="6"/>
        <v/>
      </c>
      <c r="J92" s="14" t="str">
        <f t="shared" si="6"/>
        <v/>
      </c>
      <c r="K92" s="14" t="str">
        <f t="shared" si="6"/>
        <v/>
      </c>
      <c r="L92" s="14" t="str">
        <f t="shared" si="6"/>
        <v/>
      </c>
      <c r="M92" s="14" t="str">
        <f t="shared" si="6"/>
        <v/>
      </c>
      <c r="N92" s="14" t="str">
        <f t="shared" si="6"/>
        <v/>
      </c>
      <c r="O92" s="14" t="str">
        <f t="shared" si="6"/>
        <v/>
      </c>
    </row>
    <row r="93" spans="1:15" ht="15">
      <c r="A93" s="15" t="s">
        <v>481</v>
      </c>
      <c r="B93" s="19" t="s">
        <v>472</v>
      </c>
      <c r="C93" s="15" t="s">
        <v>13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5">
      <c r="A94" s="15"/>
      <c r="B94" s="19" t="s">
        <v>474</v>
      </c>
      <c r="C94" s="15" t="s">
        <v>13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5">
      <c r="A95" s="15"/>
      <c r="B95" s="19" t="s">
        <v>134</v>
      </c>
      <c r="C95" s="15" t="s">
        <v>40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5">
      <c r="A96" s="15"/>
      <c r="B96" s="19" t="s">
        <v>135</v>
      </c>
      <c r="C96" s="15" t="s">
        <v>42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5">
      <c r="A97" s="15"/>
      <c r="B97" s="19" t="s">
        <v>136</v>
      </c>
      <c r="C97" s="15" t="s">
        <v>44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</sheetData>
  <conditionalFormatting sqref="F5:I21 J5:O36 G22:I22 F23:I36 F37:O41 F44:O97">
    <cfRule type="expression" dxfId="2" priority="2">
      <formula>F5&lt;&gt;""</formula>
    </cfRule>
  </conditionalFormatting>
  <dataValidations count="11">
    <dataValidation type="list" sqref="C93:C94 C87:C88 C80:C81 C78 C72:C73 C70 C68 C58 C6:C19 C44:C47 C40 C33:C36 C29 C21:C27 C49:C50 C60:C62" xr:uid="{AD09B791-DF12-4BE8-A70C-8F01FAF3171D}">
      <formula1>"-"</formula1>
    </dataValidation>
    <dataValidation type="list" sqref="C30 C95 C89 C82 C74 C52" xr:uid="{9A04F03E-E094-4886-A76A-2CC6A881F939}">
      <formula1>"N,lbf"</formula1>
    </dataValidation>
    <dataValidation type="list" sqref="C31 C96 C90 C83 C75 C53" xr:uid="{CDDB89F8-7AB6-49E0-9748-BDE18D878265}">
      <formula1>"N/kph,N/mph,lbf/kph,lbf/mph"</formula1>
    </dataValidation>
    <dataValidation type="list" sqref="C32 C97 C91 C54 C76 C84" xr:uid="{D4938E27-F6E4-4F2C-ACB6-D89ABFD26B45}">
      <formula1>"N/kph²,N/mph²,lbf/kph²,lbf/mph²"</formula1>
    </dataValidation>
    <dataValidation type="list" sqref="C41:C42 C38:C39 C51" xr:uid="{C6922B6C-43C7-4C51-AA1A-A95FD0550AFA}">
      <formula1>"kg,lb"</formula1>
    </dataValidation>
    <dataValidation type="list" sqref="C43 C77 C69" xr:uid="{5BDBD973-3BF5-466D-912B-91753B6812BA}">
      <formula1>"%,dec"</formula1>
    </dataValidation>
    <dataValidation type="list" sqref="C56:C57" xr:uid="{790BB67D-A0CF-4EF8-A2D1-4FA49F66A91C}">
      <formula1>"m²,ft²"</formula1>
    </dataValidation>
    <dataValidation type="list" sqref="C63:C66" xr:uid="{333E0E40-856F-4790-844B-7650E598D86B}">
      <formula1>"psi,kPa,bar"</formula1>
    </dataValidation>
    <dataValidation type="list" sqref="C67" xr:uid="{FF24C749-A719-4143-A050-C0FA22A8AD74}">
      <formula1>"N/kN,kg/t,lbf/klbf"</formula1>
    </dataValidation>
    <dataValidation type="list" sqref="C85" xr:uid="{C5BD5EB2-3104-4D48-9B8F-7C625E69DEF6}">
      <formula1>"Nm,lbf-in,ft-lb"</formula1>
    </dataValidation>
    <dataValidation type="whole" allowBlank="1" showInputMessage="1" showErrorMessage="1" sqref="F13:O13" xr:uid="{4B62A163-9F5A-46DC-BF73-D54E6F10E481}">
      <formula1>1900</formula1>
      <formula2>2200</formula2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xr:uid="{1913027C-7FE4-45DE-A4CF-70AA1F80579E}">
          <x14:formula1>
            <xm:f>LISTS!$A$2:$A$9</xm:f>
          </x14:formula1>
          <xm:sqref>F21:O21</xm:sqref>
        </x14:dataValidation>
        <x14:dataValidation type="list" xr:uid="{796CA70F-FF41-4FA2-AC3C-7B2CE0E3FE05}">
          <x14:formula1>
            <xm:f>LISTS!$C$2:$C$6</xm:f>
          </x14:formula1>
          <xm:sqref>F23:O23</xm:sqref>
        </x14:dataValidation>
        <x14:dataValidation type="list" xr:uid="{4BF242B3-FA21-4B48-997B-577A4A01360D}">
          <x14:formula1>
            <xm:f>LISTS!$D$2:$D$6</xm:f>
          </x14:formula1>
          <xm:sqref>F24:O24</xm:sqref>
        </x14:dataValidation>
        <x14:dataValidation type="list" xr:uid="{466439A5-6837-4311-BCF8-F9463F05C299}">
          <x14:formula1>
            <xm:f>LISTS!$E$2:$E$6</xm:f>
          </x14:formula1>
          <xm:sqref>F25:O25</xm:sqref>
        </x14:dataValidation>
        <x14:dataValidation type="list" xr:uid="{5B973DF1-7274-4629-A93A-CC16DED0C36E}">
          <x14:formula1>
            <xm:f>LISTS!$F$2:$F$5</xm:f>
          </x14:formula1>
          <xm:sqref>F26:O26</xm:sqref>
        </x14:dataValidation>
        <x14:dataValidation type="list" xr:uid="{E9CC8C84-8BBE-494F-8453-41D833123BDD}">
          <x14:formula1>
            <xm:f>LISTS!$G$2:$G$5</xm:f>
          </x14:formula1>
          <xm:sqref>F27:O27</xm:sqref>
        </x14:dataValidation>
        <x14:dataValidation type="list" xr:uid="{951DE9A5-9419-4C32-9D7F-C46F9DB1F711}">
          <x14:formula1>
            <xm:f>LISTS!$H$2:$H$4</xm:f>
          </x14:formula1>
          <xm:sqref>G8:O8</xm:sqref>
        </x14:dataValidation>
        <x14:dataValidation type="list" xr:uid="{DEAEEFCD-0C2A-4DB9-B65D-FBDAE7F710EA}">
          <x14:formula1>
            <xm:f>LISTS!$J$2:$J$5</xm:f>
          </x14:formula1>
          <xm:sqref>F14:O14</xm:sqref>
        </x14:dataValidation>
        <x14:dataValidation type="list" xr:uid="{6CAAFCCF-03F7-40E8-9F6C-BDFCFA905330}">
          <x14:formula1>
            <xm:f>LISTS!$K$2:$K$6</xm:f>
          </x14:formula1>
          <xm:sqref>G15:O15</xm:sqref>
        </x14:dataValidation>
        <x14:dataValidation type="list" xr:uid="{9C680D16-D2AF-43CE-851F-4BFAA92DF612}">
          <x14:formula1>
            <xm:f>LISTS!$L$2:$L$5</xm:f>
          </x14:formula1>
          <xm:sqref>F16:O16</xm:sqref>
        </x14:dataValidation>
        <x14:dataValidation type="list" xr:uid="{9B89D08D-9586-4132-B993-625E5E78E2FC}">
          <x14:formula1>
            <xm:f>LISTS!$M$2:$M$9</xm:f>
          </x14:formula1>
          <xm:sqref>F17:O17</xm:sqref>
        </x14:dataValidation>
        <x14:dataValidation type="list" xr:uid="{1503C770-A258-45AE-8B65-E1475DF0C789}">
          <x14:formula1>
            <xm:f>LISTS!$N$2:$N$11</xm:f>
          </x14:formula1>
          <xm:sqref>F40:O40</xm:sqref>
        </x14:dataValidation>
        <x14:dataValidation type="list" xr:uid="{38EE36FA-EF5B-421E-9146-ED54C01338FF}">
          <x14:formula1>
            <xm:f>LISTS!$O$2:$O$3</xm:f>
          </x14:formula1>
          <xm:sqref>F45:O45</xm:sqref>
        </x14:dataValidation>
        <x14:dataValidation type="list" xr:uid="{C702DC23-A718-40D2-B6D2-2E833D88E682}">
          <x14:formula1>
            <xm:f>LISTS!$P$2:$P$4</xm:f>
          </x14:formula1>
          <xm:sqref>F47:O47</xm:sqref>
        </x14:dataValidation>
        <x14:dataValidation type="list" xr:uid="{E9E15B21-DD42-407C-909C-DEB5CA6E958E}">
          <x14:formula1>
            <xm:f>LISTS!$T$2:$T$6</xm:f>
          </x14:formula1>
          <xm:sqref>G80:O81</xm:sqref>
        </x14:dataValidation>
        <x14:dataValidation type="list" xr:uid="{C2410AC4-51CA-4765-AE8E-66A81E70C80C}">
          <x14:formula1>
            <xm:f>LISTS!$U$2:$U$5</xm:f>
          </x14:formula1>
          <xm:sqref>G87:O88 F88</xm:sqref>
        </x14:dataValidation>
        <x14:dataValidation type="list" xr:uid="{477E23E8-ABF8-45DE-909D-3148C01C5F8F}">
          <x14:formula1>
            <xm:f>LISTS!$V$2:$V$5</xm:f>
          </x14:formula1>
          <xm:sqref>G93:O94</xm:sqref>
        </x14:dataValidation>
        <x14:dataValidation type="list" xr:uid="{4B86C11B-A877-4FC3-81F2-E2D046D261F0}">
          <x14:formula1>
            <xm:f>LISTS!$B$2:$B$4</xm:f>
          </x14:formula1>
          <xm:sqref>G22:O22 F21</xm:sqref>
        </x14:dataValidation>
        <x14:dataValidation type="list" xr:uid="{295A6162-AD2A-4618-86D4-8511B4364084}">
          <x14:formula1>
            <xm:f>LISTS!$S$2:$S$6</xm:f>
          </x14:formula1>
          <xm:sqref>G72:O72</xm:sqref>
        </x14:dataValidation>
        <x14:dataValidation type="list" showInputMessage="1" xr:uid="{20CFCCDF-1163-4717-9B4B-441947BFF309}">
          <x14:formula1>
            <xm:f>LISTS!$H$2:$H$1048576</xm:f>
          </x14:formula1>
          <xm:sqref>F8</xm:sqref>
        </x14:dataValidation>
        <x14:dataValidation type="list" allowBlank="1" showInputMessage="1" showErrorMessage="1" xr:uid="{B263B9BC-174A-46AD-8FA0-25119B824278}">
          <x14:formula1>
            <xm:f>LISTS!$I$2:$I$4</xm:f>
          </x14:formula1>
          <xm:sqref>D9:O9</xm:sqref>
        </x14:dataValidation>
        <x14:dataValidation type="list" xr:uid="{0A802A87-08B2-46EC-91E4-56BEB8BEB5D6}">
          <x14:formula1>
            <xm:f>LISTS!$K$2:$K$7</xm:f>
          </x14:formula1>
          <xm:sqref>F15</xm:sqref>
        </x14:dataValidation>
        <x14:dataValidation type="list" allowBlank="1" showInputMessage="1" showErrorMessage="1" xr:uid="{6E052824-0ED5-4E4C-9ADF-D2F6CCC63F4B}">
          <x14:formula1>
            <xm:f>LISTS!$X$2:$X$11</xm:f>
          </x14:formula1>
          <xm:sqref>G46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workbookViewId="0">
      <selection sqref="A1:I120"/>
    </sheetView>
  </sheetViews>
  <sheetFormatPr defaultRowHeight="14.25"/>
  <cols>
    <col min="1" max="1" width="20" customWidth="1"/>
    <col min="2" max="2" width="32" customWidth="1"/>
    <col min="3" max="3" width="12" customWidth="1"/>
    <col min="4" max="9" width="18" customWidth="1"/>
  </cols>
  <sheetData>
    <row r="1" spans="1:9" ht="9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142.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>
      <c r="A3" s="5"/>
      <c r="B3" s="5"/>
      <c r="C3" s="5"/>
      <c r="D3" s="5"/>
      <c r="E3" s="5"/>
      <c r="F3" s="5"/>
      <c r="G3" s="5"/>
      <c r="H3" s="5"/>
      <c r="I3" s="5"/>
    </row>
    <row r="4" spans="1:9" ht="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15">
      <c r="A5" s="6" t="s">
        <v>11</v>
      </c>
      <c r="B5" s="6"/>
      <c r="C5" s="6"/>
      <c r="D5" s="6"/>
      <c r="E5" s="6"/>
      <c r="F5" s="6"/>
      <c r="G5" s="6"/>
      <c r="H5" s="6"/>
      <c r="I5" s="6"/>
    </row>
    <row r="6" spans="1:9">
      <c r="A6" s="5"/>
      <c r="B6" s="5" t="s">
        <v>12</v>
      </c>
      <c r="C6" s="5" t="s">
        <v>13</v>
      </c>
      <c r="D6" s="5"/>
      <c r="E6" s="5" t="s">
        <v>14</v>
      </c>
      <c r="F6" s="5"/>
      <c r="G6" s="5"/>
      <c r="H6" s="5"/>
      <c r="I6" s="5"/>
    </row>
    <row r="7" spans="1:9">
      <c r="A7" s="5"/>
      <c r="B7" s="5" t="s">
        <v>15</v>
      </c>
      <c r="C7" s="5" t="s">
        <v>13</v>
      </c>
      <c r="D7" s="5"/>
      <c r="E7" s="5" t="s">
        <v>14</v>
      </c>
      <c r="F7" s="5"/>
      <c r="G7" s="5"/>
      <c r="H7" s="5"/>
      <c r="I7" s="5"/>
    </row>
    <row r="8" spans="1:9">
      <c r="A8" s="5"/>
      <c r="B8" s="5" t="s">
        <v>16</v>
      </c>
      <c r="C8" s="5" t="s">
        <v>13</v>
      </c>
      <c r="D8" s="5"/>
      <c r="E8" s="5" t="s">
        <v>14</v>
      </c>
      <c r="F8" s="5"/>
      <c r="G8" s="5"/>
      <c r="H8" s="5"/>
      <c r="I8" s="5"/>
    </row>
    <row r="9" spans="1:9">
      <c r="A9" s="5"/>
      <c r="B9" s="5" t="s">
        <v>17</v>
      </c>
      <c r="C9" s="5" t="s">
        <v>13</v>
      </c>
      <c r="D9" s="5"/>
      <c r="E9" s="5" t="s">
        <v>14</v>
      </c>
      <c r="F9" s="5"/>
      <c r="G9" s="5"/>
      <c r="H9" s="5"/>
      <c r="I9" s="5"/>
    </row>
    <row r="10" spans="1:9">
      <c r="A10" s="5"/>
      <c r="B10" s="5" t="s">
        <v>18</v>
      </c>
      <c r="C10" s="5" t="s">
        <v>13</v>
      </c>
      <c r="D10" s="5"/>
      <c r="E10" s="5" t="s">
        <v>14</v>
      </c>
      <c r="F10" s="5"/>
      <c r="G10" s="5"/>
      <c r="H10" s="5"/>
      <c r="I10" s="5"/>
    </row>
    <row r="11" spans="1:9">
      <c r="A11" s="5"/>
      <c r="B11" s="5" t="s">
        <v>19</v>
      </c>
      <c r="C11" s="5" t="s">
        <v>13</v>
      </c>
      <c r="D11" s="5"/>
      <c r="E11" s="5" t="s">
        <v>14</v>
      </c>
      <c r="F11" s="5"/>
      <c r="G11" s="5"/>
      <c r="H11" s="5"/>
      <c r="I11" s="5"/>
    </row>
    <row r="12" spans="1:9">
      <c r="A12" s="5"/>
      <c r="B12" s="5" t="s">
        <v>20</v>
      </c>
      <c r="C12" s="5" t="s">
        <v>13</v>
      </c>
      <c r="D12" s="5"/>
      <c r="E12" s="5" t="s">
        <v>14</v>
      </c>
      <c r="F12" s="5"/>
      <c r="G12" s="5"/>
      <c r="H12" s="5"/>
      <c r="I12" s="5"/>
    </row>
    <row r="13" spans="1:9">
      <c r="A13" s="5"/>
      <c r="B13" s="5" t="s">
        <v>21</v>
      </c>
      <c r="C13" s="5" t="s">
        <v>13</v>
      </c>
      <c r="D13" s="5"/>
      <c r="E13" s="5" t="s">
        <v>14</v>
      </c>
      <c r="F13" s="5"/>
      <c r="G13" s="5"/>
      <c r="H13" s="5"/>
      <c r="I13" s="5"/>
    </row>
    <row r="14" spans="1:9">
      <c r="A14" s="5"/>
      <c r="B14" s="5" t="s">
        <v>22</v>
      </c>
      <c r="C14" s="5" t="s">
        <v>13</v>
      </c>
      <c r="D14" s="5"/>
      <c r="E14" s="5" t="s">
        <v>14</v>
      </c>
      <c r="F14" s="5"/>
      <c r="G14" s="5"/>
      <c r="H14" s="5"/>
      <c r="I14" s="5"/>
    </row>
    <row r="15" spans="1:9">
      <c r="A15" s="5"/>
      <c r="B15" s="5" t="s">
        <v>23</v>
      </c>
      <c r="C15" s="5" t="s">
        <v>13</v>
      </c>
      <c r="D15" s="5"/>
      <c r="E15" s="5" t="s">
        <v>14</v>
      </c>
      <c r="F15" s="5"/>
      <c r="G15" s="5"/>
      <c r="H15" s="5"/>
      <c r="I15" s="5"/>
    </row>
    <row r="16" spans="1:9">
      <c r="A16" s="5"/>
      <c r="B16" s="5" t="s">
        <v>24</v>
      </c>
      <c r="C16" s="5" t="s">
        <v>13</v>
      </c>
      <c r="D16" s="5"/>
      <c r="E16" s="5" t="s">
        <v>14</v>
      </c>
      <c r="F16" s="5"/>
      <c r="G16" s="5"/>
      <c r="H16" s="5"/>
      <c r="I16" s="5"/>
    </row>
    <row r="17" spans="1:9">
      <c r="A17" s="5"/>
      <c r="B17" s="5" t="s">
        <v>25</v>
      </c>
      <c r="C17" s="5" t="s">
        <v>13</v>
      </c>
      <c r="D17" s="5"/>
      <c r="E17" s="5" t="s">
        <v>14</v>
      </c>
      <c r="F17" s="5"/>
      <c r="G17" s="5"/>
      <c r="H17" s="5"/>
      <c r="I17" s="5"/>
    </row>
    <row r="18" spans="1:9">
      <c r="A18" s="5"/>
      <c r="B18" s="5" t="s">
        <v>26</v>
      </c>
      <c r="C18" s="5" t="s">
        <v>13</v>
      </c>
      <c r="D18" s="5"/>
      <c r="E18" s="5" t="s">
        <v>14</v>
      </c>
      <c r="F18" s="5"/>
      <c r="G18" s="5"/>
      <c r="H18" s="5"/>
      <c r="I18" s="5"/>
    </row>
    <row r="19" spans="1:9">
      <c r="A19" s="5"/>
      <c r="B19" s="5" t="s">
        <v>27</v>
      </c>
      <c r="C19" s="5" t="s">
        <v>13</v>
      </c>
      <c r="D19" s="5"/>
      <c r="E19" s="5" t="s">
        <v>14</v>
      </c>
      <c r="F19" s="5"/>
      <c r="G19" s="5"/>
      <c r="H19" s="5"/>
      <c r="I19" s="5"/>
    </row>
    <row r="20" spans="1:9" ht="15">
      <c r="A20" s="6" t="s">
        <v>28</v>
      </c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5" t="s">
        <v>29</v>
      </c>
      <c r="C21" s="5" t="s">
        <v>13</v>
      </c>
      <c r="D21" s="5" t="s">
        <v>30</v>
      </c>
      <c r="E21" s="5" t="s">
        <v>14</v>
      </c>
      <c r="F21" s="5"/>
      <c r="G21" s="5"/>
      <c r="H21" s="5"/>
      <c r="I21" s="5"/>
    </row>
    <row r="22" spans="1:9">
      <c r="A22" s="5"/>
      <c r="B22" s="5" t="s">
        <v>31</v>
      </c>
      <c r="C22" s="5" t="s">
        <v>13</v>
      </c>
      <c r="D22" s="5" t="s">
        <v>30</v>
      </c>
      <c r="E22" s="5" t="s">
        <v>14</v>
      </c>
      <c r="G22" s="5"/>
      <c r="H22" s="5"/>
      <c r="I22" s="5"/>
    </row>
    <row r="23" spans="1:9">
      <c r="A23" s="5"/>
      <c r="B23" s="5" t="s">
        <v>32</v>
      </c>
      <c r="C23" s="5" t="s">
        <v>13</v>
      </c>
      <c r="D23" s="5" t="s">
        <v>30</v>
      </c>
      <c r="E23" s="5" t="s">
        <v>14</v>
      </c>
      <c r="F23" s="5"/>
      <c r="G23" s="5"/>
      <c r="H23" s="5"/>
      <c r="I23" s="5"/>
    </row>
    <row r="24" spans="1:9">
      <c r="A24" s="5"/>
      <c r="B24" s="5" t="s">
        <v>33</v>
      </c>
      <c r="C24" s="5" t="s">
        <v>13</v>
      </c>
      <c r="D24" s="5" t="s">
        <v>30</v>
      </c>
      <c r="E24" s="5" t="s">
        <v>14</v>
      </c>
      <c r="F24" s="5"/>
      <c r="G24" s="5"/>
      <c r="H24" s="5"/>
      <c r="I24" s="5"/>
    </row>
    <row r="25" spans="1:9">
      <c r="A25" s="5"/>
      <c r="B25" s="5" t="s">
        <v>34</v>
      </c>
      <c r="C25" s="5" t="s">
        <v>13</v>
      </c>
      <c r="D25" s="5" t="s">
        <v>30</v>
      </c>
      <c r="E25" s="5" t="s">
        <v>14</v>
      </c>
      <c r="F25" s="5"/>
      <c r="G25" s="5"/>
      <c r="H25" s="5"/>
      <c r="I25" s="5"/>
    </row>
    <row r="26" spans="1:9">
      <c r="A26" s="5"/>
      <c r="B26" s="5" t="s">
        <v>35</v>
      </c>
      <c r="C26" s="5" t="s">
        <v>13</v>
      </c>
      <c r="D26" s="5" t="s">
        <v>30</v>
      </c>
      <c r="E26" s="5" t="s">
        <v>14</v>
      </c>
      <c r="F26" s="5"/>
      <c r="G26" s="5"/>
      <c r="H26" s="5"/>
      <c r="I26" s="5"/>
    </row>
    <row r="27" spans="1:9">
      <c r="A27" s="5"/>
      <c r="B27" s="5" t="s">
        <v>36</v>
      </c>
      <c r="C27" s="5" t="s">
        <v>13</v>
      </c>
      <c r="D27" s="5" t="s">
        <v>30</v>
      </c>
      <c r="E27" s="5" t="s">
        <v>14</v>
      </c>
      <c r="F27" s="5"/>
      <c r="G27" s="5"/>
      <c r="H27" s="5"/>
      <c r="I27" s="5"/>
    </row>
    <row r="28" spans="1:9" ht="15">
      <c r="A28" s="6" t="s">
        <v>37</v>
      </c>
      <c r="B28" s="6"/>
      <c r="C28" s="6"/>
      <c r="D28" s="6"/>
      <c r="E28" s="6"/>
      <c r="F28" s="6"/>
      <c r="G28" s="6"/>
      <c r="H28" s="6"/>
      <c r="I28" s="6"/>
    </row>
    <row r="29" spans="1:9">
      <c r="A29" s="5"/>
      <c r="B29" s="5" t="s">
        <v>38</v>
      </c>
      <c r="C29" s="5" t="s">
        <v>13</v>
      </c>
      <c r="D29" s="5"/>
      <c r="E29" s="5" t="s">
        <v>14</v>
      </c>
      <c r="F29" s="5"/>
      <c r="G29" s="5"/>
      <c r="H29" s="5"/>
      <c r="I29" s="5"/>
    </row>
    <row r="30" spans="1:9">
      <c r="A30" s="5"/>
      <c r="B30" s="5" t="s">
        <v>39</v>
      </c>
      <c r="C30" s="5" t="s">
        <v>40</v>
      </c>
      <c r="D30" s="5"/>
      <c r="E30" s="5" t="s">
        <v>14</v>
      </c>
      <c r="F30" s="5"/>
      <c r="G30" s="5"/>
      <c r="H30" s="5"/>
      <c r="I30" s="5"/>
    </row>
    <row r="31" spans="1:9">
      <c r="A31" s="5"/>
      <c r="B31" s="5" t="s">
        <v>41</v>
      </c>
      <c r="C31" s="5" t="s">
        <v>42</v>
      </c>
      <c r="D31" s="5"/>
      <c r="E31" s="5" t="s">
        <v>14</v>
      </c>
      <c r="F31" s="5"/>
      <c r="G31" s="5"/>
      <c r="H31" s="5"/>
      <c r="I31" s="5"/>
    </row>
    <row r="32" spans="1:9">
      <c r="A32" s="5"/>
      <c r="B32" s="5" t="s">
        <v>43</v>
      </c>
      <c r="C32" s="5" t="s">
        <v>44</v>
      </c>
      <c r="D32" s="5"/>
      <c r="E32" s="5" t="s">
        <v>14</v>
      </c>
      <c r="F32" s="5"/>
      <c r="G32" s="5"/>
      <c r="H32" s="5"/>
      <c r="I32" s="5"/>
    </row>
    <row r="33" spans="1:9">
      <c r="A33" s="5"/>
      <c r="B33" s="5" t="s">
        <v>45</v>
      </c>
      <c r="C33" s="5" t="s">
        <v>13</v>
      </c>
      <c r="D33" s="5"/>
      <c r="E33" s="5" t="s">
        <v>14</v>
      </c>
      <c r="F33" s="5"/>
      <c r="G33" s="5"/>
      <c r="H33" s="5"/>
      <c r="I33" s="5"/>
    </row>
    <row r="34" spans="1:9" ht="15">
      <c r="A34" s="6" t="s">
        <v>46</v>
      </c>
      <c r="B34" s="6"/>
      <c r="C34" s="6"/>
      <c r="D34" s="6"/>
      <c r="E34" s="6"/>
      <c r="F34" s="6"/>
      <c r="G34" s="6"/>
      <c r="H34" s="6"/>
      <c r="I34" s="6"/>
    </row>
    <row r="35" spans="1:9">
      <c r="A35" s="5"/>
      <c r="B35" s="5" t="s">
        <v>47</v>
      </c>
      <c r="C35" s="5" t="s">
        <v>48</v>
      </c>
      <c r="D35" s="5"/>
      <c r="E35" s="5" t="s">
        <v>14</v>
      </c>
      <c r="F35" s="5"/>
      <c r="G35" s="5"/>
      <c r="H35" s="5"/>
      <c r="I35" s="5"/>
    </row>
    <row r="36" spans="1:9">
      <c r="A36" s="5"/>
      <c r="B36" s="5" t="s">
        <v>49</v>
      </c>
      <c r="C36" s="5" t="s">
        <v>48</v>
      </c>
      <c r="D36" s="5"/>
      <c r="E36" s="5" t="s">
        <v>14</v>
      </c>
      <c r="F36" s="5"/>
      <c r="G36" s="5"/>
      <c r="H36" s="5"/>
      <c r="I36" s="5"/>
    </row>
    <row r="37" spans="1:9">
      <c r="A37" s="5"/>
      <c r="B37" s="5" t="s">
        <v>50</v>
      </c>
      <c r="C37" s="5" t="s">
        <v>13</v>
      </c>
      <c r="D37" s="5"/>
      <c r="E37" s="5" t="s">
        <v>14</v>
      </c>
      <c r="F37" s="5"/>
      <c r="G37" s="5"/>
      <c r="H37" s="5"/>
      <c r="I37" s="5"/>
    </row>
    <row r="38" spans="1:9">
      <c r="A38" s="5"/>
      <c r="B38" s="5" t="s">
        <v>51</v>
      </c>
      <c r="C38" s="5" t="s">
        <v>48</v>
      </c>
      <c r="D38" s="5"/>
      <c r="E38" s="5" t="s">
        <v>14</v>
      </c>
      <c r="F38" s="5"/>
      <c r="G38" s="5"/>
      <c r="H38" s="5"/>
      <c r="I38" s="5"/>
    </row>
    <row r="39" spans="1:9">
      <c r="A39" s="5"/>
      <c r="B39" s="5" t="s">
        <v>52</v>
      </c>
      <c r="C39" s="5" t="s">
        <v>48</v>
      </c>
      <c r="D39" s="5"/>
      <c r="E39" s="5" t="s">
        <v>14</v>
      </c>
      <c r="F39" s="5"/>
      <c r="G39" s="5"/>
      <c r="H39" s="5"/>
      <c r="I39" s="5"/>
    </row>
    <row r="40" spans="1:9">
      <c r="A40" s="5"/>
      <c r="B40" s="5" t="s">
        <v>53</v>
      </c>
      <c r="C40" s="5" t="s">
        <v>48</v>
      </c>
      <c r="D40" s="5"/>
      <c r="E40" s="5" t="s">
        <v>14</v>
      </c>
      <c r="F40" s="5"/>
      <c r="G40" s="5"/>
      <c r="H40" s="5"/>
      <c r="I40" s="5"/>
    </row>
    <row r="41" spans="1:9">
      <c r="A41" s="5"/>
      <c r="B41" s="5" t="s">
        <v>54</v>
      </c>
      <c r="C41" s="5" t="s">
        <v>55</v>
      </c>
      <c r="D41" s="5"/>
      <c r="E41" s="5" t="s">
        <v>14</v>
      </c>
      <c r="F41" s="5"/>
      <c r="G41" s="5"/>
      <c r="H41" s="5"/>
      <c r="I41" s="5"/>
    </row>
    <row r="42" spans="1:9">
      <c r="A42" s="5"/>
      <c r="B42" s="5" t="s">
        <v>56</v>
      </c>
      <c r="C42" s="5" t="s">
        <v>13</v>
      </c>
      <c r="D42" s="5"/>
      <c r="E42" s="5" t="s">
        <v>14</v>
      </c>
      <c r="F42" s="5"/>
      <c r="G42" s="5"/>
      <c r="H42" s="5"/>
      <c r="I42" s="5"/>
    </row>
    <row r="43" spans="1:9">
      <c r="A43" s="5"/>
      <c r="B43" s="5" t="s">
        <v>57</v>
      </c>
      <c r="C43" s="5" t="s">
        <v>13</v>
      </c>
      <c r="D43" s="5"/>
      <c r="E43" s="5" t="s">
        <v>14</v>
      </c>
      <c r="F43" s="5"/>
      <c r="G43" s="5"/>
      <c r="H43" s="5"/>
      <c r="I43" s="5"/>
    </row>
    <row r="44" spans="1:9">
      <c r="A44" s="5"/>
      <c r="B44" s="5" t="s">
        <v>58</v>
      </c>
      <c r="C44" s="5" t="s">
        <v>13</v>
      </c>
      <c r="D44" s="5"/>
      <c r="E44" s="5" t="s">
        <v>14</v>
      </c>
      <c r="F44" s="5"/>
      <c r="G44" s="5"/>
      <c r="H44" s="5"/>
      <c r="I44" s="5"/>
    </row>
    <row r="45" spans="1:9">
      <c r="A45" s="5"/>
      <c r="B45" s="5" t="s">
        <v>59</v>
      </c>
      <c r="C45" s="5" t="s">
        <v>13</v>
      </c>
      <c r="D45" s="5"/>
      <c r="E45" s="5" t="s">
        <v>14</v>
      </c>
      <c r="F45" s="5"/>
      <c r="G45" s="5"/>
      <c r="H45" s="5"/>
      <c r="I45" s="5"/>
    </row>
    <row r="46" spans="1:9">
      <c r="A46" s="5"/>
      <c r="B46" s="5" t="s">
        <v>60</v>
      </c>
      <c r="C46" s="5" t="s">
        <v>48</v>
      </c>
      <c r="D46" s="5"/>
      <c r="E46" s="5" t="s">
        <v>14</v>
      </c>
      <c r="F46" s="5"/>
      <c r="G46" s="5"/>
      <c r="H46" s="5"/>
      <c r="I46" s="5"/>
    </row>
    <row r="47" spans="1:9">
      <c r="A47" s="5"/>
      <c r="B47" s="5" t="s">
        <v>61</v>
      </c>
      <c r="C47" s="5" t="s">
        <v>48</v>
      </c>
      <c r="D47" s="5"/>
      <c r="E47" s="5" t="s">
        <v>14</v>
      </c>
      <c r="F47" s="5"/>
      <c r="G47" s="5"/>
      <c r="H47" s="5"/>
      <c r="I47" s="5"/>
    </row>
    <row r="48" spans="1:9">
      <c r="A48" s="5"/>
      <c r="B48" s="5" t="s">
        <v>62</v>
      </c>
      <c r="C48" s="5" t="s">
        <v>48</v>
      </c>
      <c r="D48" s="5"/>
      <c r="E48" s="5" t="s">
        <v>14</v>
      </c>
      <c r="F48" s="5"/>
      <c r="G48" s="5"/>
      <c r="H48" s="5"/>
      <c r="I48" s="5"/>
    </row>
    <row r="49" spans="1:9">
      <c r="A49" s="5"/>
      <c r="B49" s="5" t="s">
        <v>63</v>
      </c>
      <c r="C49" s="5" t="s">
        <v>48</v>
      </c>
      <c r="D49" s="5"/>
      <c r="E49" s="5" t="s">
        <v>14</v>
      </c>
      <c r="F49" s="5"/>
      <c r="G49" s="5"/>
      <c r="H49" s="5"/>
      <c r="I49" s="5"/>
    </row>
    <row r="50" spans="1:9">
      <c r="A50" s="5"/>
      <c r="B50" s="5" t="s">
        <v>64</v>
      </c>
      <c r="C50" s="5" t="s">
        <v>48</v>
      </c>
      <c r="D50" s="5"/>
      <c r="E50" s="5" t="s">
        <v>14</v>
      </c>
      <c r="F50" s="5"/>
      <c r="G50" s="5"/>
      <c r="H50" s="5"/>
      <c r="I50" s="5"/>
    </row>
    <row r="51" spans="1:9" ht="15">
      <c r="A51" s="6" t="s">
        <v>65</v>
      </c>
      <c r="B51" s="6"/>
      <c r="C51" s="6"/>
      <c r="D51" s="6"/>
      <c r="E51" s="6"/>
      <c r="F51" s="6"/>
      <c r="G51" s="6"/>
      <c r="H51" s="6"/>
      <c r="I51" s="6"/>
    </row>
    <row r="52" spans="1:9">
      <c r="A52" s="5"/>
      <c r="B52" s="5" t="s">
        <v>66</v>
      </c>
      <c r="C52" s="5" t="s">
        <v>13</v>
      </c>
      <c r="D52" s="5"/>
      <c r="E52" s="5" t="s">
        <v>14</v>
      </c>
      <c r="F52" s="5"/>
      <c r="G52" s="5"/>
      <c r="H52" s="5"/>
      <c r="I52" s="5"/>
    </row>
    <row r="53" spans="1:9">
      <c r="A53" s="5"/>
      <c r="B53" s="5" t="s">
        <v>67</v>
      </c>
      <c r="C53" s="5" t="s">
        <v>40</v>
      </c>
      <c r="D53" s="5"/>
      <c r="E53" s="5" t="s">
        <v>14</v>
      </c>
      <c r="F53" s="5"/>
      <c r="G53" s="5"/>
      <c r="H53" s="5"/>
      <c r="I53" s="5"/>
    </row>
    <row r="54" spans="1:9">
      <c r="A54" s="5"/>
      <c r="B54" s="5" t="s">
        <v>68</v>
      </c>
      <c r="C54" s="5" t="s">
        <v>42</v>
      </c>
      <c r="D54" s="5"/>
      <c r="E54" s="5" t="s">
        <v>14</v>
      </c>
      <c r="F54" s="5"/>
      <c r="G54" s="5"/>
      <c r="H54" s="5"/>
      <c r="I54" s="5"/>
    </row>
    <row r="55" spans="1:9">
      <c r="A55" s="5"/>
      <c r="B55" s="5" t="s">
        <v>69</v>
      </c>
      <c r="C55" s="5" t="s">
        <v>44</v>
      </c>
      <c r="D55" s="5"/>
      <c r="E55" s="5" t="s">
        <v>14</v>
      </c>
      <c r="F55" s="5"/>
      <c r="G55" s="5"/>
      <c r="H55" s="5"/>
      <c r="I55" s="5"/>
    </row>
    <row r="56" spans="1:9" ht="15">
      <c r="A56" s="6" t="s">
        <v>70</v>
      </c>
      <c r="B56" s="6"/>
      <c r="C56" s="6"/>
      <c r="D56" s="6"/>
      <c r="E56" s="6"/>
      <c r="F56" s="6"/>
      <c r="G56" s="6"/>
      <c r="H56" s="6"/>
      <c r="I56" s="6"/>
    </row>
    <row r="57" spans="1:9">
      <c r="A57" s="5"/>
      <c r="B57" s="5" t="s">
        <v>71</v>
      </c>
      <c r="C57" s="5" t="s">
        <v>13</v>
      </c>
      <c r="D57" s="5"/>
      <c r="E57" s="5" t="s">
        <v>14</v>
      </c>
      <c r="F57" s="5"/>
      <c r="G57" s="5"/>
      <c r="H57" s="5"/>
      <c r="I57" s="5"/>
    </row>
    <row r="58" spans="1:9">
      <c r="A58" s="5"/>
      <c r="B58" s="5" t="s">
        <v>72</v>
      </c>
      <c r="C58" s="5" t="s">
        <v>73</v>
      </c>
      <c r="D58" s="5"/>
      <c r="E58" s="5" t="s">
        <v>14</v>
      </c>
      <c r="F58" s="5"/>
      <c r="G58" s="5"/>
      <c r="H58" s="5"/>
      <c r="I58" s="5"/>
    </row>
    <row r="59" spans="1:9">
      <c r="A59" s="5"/>
      <c r="B59" s="5" t="s">
        <v>74</v>
      </c>
      <c r="C59" s="5" t="s">
        <v>73</v>
      </c>
      <c r="D59" s="5"/>
      <c r="E59" s="5" t="s">
        <v>14</v>
      </c>
      <c r="F59" s="5"/>
      <c r="G59" s="5"/>
      <c r="H59" s="5"/>
      <c r="I59" s="5"/>
    </row>
    <row r="60" spans="1:9">
      <c r="A60" s="5"/>
      <c r="B60" s="5" t="s">
        <v>75</v>
      </c>
      <c r="C60" s="5" t="s">
        <v>13</v>
      </c>
      <c r="D60" s="5"/>
      <c r="E60" s="5" t="s">
        <v>14</v>
      </c>
      <c r="F60" s="5"/>
      <c r="G60" s="5"/>
      <c r="H60" s="5"/>
      <c r="I60" s="5"/>
    </row>
    <row r="61" spans="1:9">
      <c r="A61" s="5"/>
      <c r="B61" s="5" t="s">
        <v>76</v>
      </c>
      <c r="C61" s="5" t="s">
        <v>73</v>
      </c>
      <c r="D61" s="5"/>
      <c r="E61" s="5" t="s">
        <v>14</v>
      </c>
      <c r="F61" s="5"/>
      <c r="G61" s="5"/>
      <c r="H61" s="5"/>
      <c r="I61" s="5"/>
    </row>
    <row r="62" spans="1:9">
      <c r="A62" s="5"/>
      <c r="B62" s="5" t="s">
        <v>77</v>
      </c>
      <c r="C62" s="5" t="s">
        <v>13</v>
      </c>
      <c r="D62" s="5"/>
      <c r="E62" s="5" t="s">
        <v>14</v>
      </c>
      <c r="F62" s="5"/>
      <c r="G62" s="5"/>
      <c r="H62" s="5"/>
      <c r="I62" s="5"/>
    </row>
    <row r="63" spans="1:9" ht="15">
      <c r="A63" s="6" t="s">
        <v>78</v>
      </c>
      <c r="B63" s="6"/>
      <c r="C63" s="6"/>
      <c r="D63" s="6"/>
      <c r="E63" s="6"/>
      <c r="F63" s="6"/>
      <c r="G63" s="6"/>
      <c r="H63" s="6"/>
      <c r="I63" s="6"/>
    </row>
    <row r="64" spans="1:9">
      <c r="A64" s="5"/>
      <c r="B64" s="5" t="s">
        <v>79</v>
      </c>
      <c r="C64" s="5" t="s">
        <v>13</v>
      </c>
      <c r="D64" s="5"/>
      <c r="E64" s="5" t="s">
        <v>14</v>
      </c>
      <c r="F64" s="5"/>
      <c r="G64" s="5"/>
      <c r="H64" s="5"/>
      <c r="I64" s="5"/>
    </row>
    <row r="65" spans="1:9">
      <c r="A65" s="5"/>
      <c r="B65" s="5" t="s">
        <v>80</v>
      </c>
      <c r="C65" s="5" t="s">
        <v>13</v>
      </c>
      <c r="D65" s="5"/>
      <c r="E65" s="5" t="s">
        <v>14</v>
      </c>
      <c r="F65" s="5"/>
      <c r="G65" s="5"/>
      <c r="H65" s="5"/>
      <c r="I65" s="5"/>
    </row>
    <row r="66" spans="1:9">
      <c r="A66" s="5"/>
      <c r="B66" s="5" t="s">
        <v>81</v>
      </c>
      <c r="C66" s="5" t="s">
        <v>13</v>
      </c>
      <c r="D66" s="5"/>
      <c r="E66" s="5" t="s">
        <v>14</v>
      </c>
      <c r="F66" s="5"/>
      <c r="G66" s="5"/>
      <c r="H66" s="5"/>
      <c r="I66" s="5"/>
    </row>
    <row r="67" spans="1:9">
      <c r="A67" s="5"/>
      <c r="B67" s="5" t="s">
        <v>82</v>
      </c>
      <c r="C67" s="5" t="s">
        <v>13</v>
      </c>
      <c r="D67" s="5"/>
      <c r="E67" s="5" t="s">
        <v>14</v>
      </c>
      <c r="F67" s="5"/>
      <c r="G67" s="5"/>
      <c r="H67" s="5"/>
      <c r="I67" s="5"/>
    </row>
    <row r="68" spans="1:9">
      <c r="A68" s="5"/>
      <c r="B68" s="5" t="s">
        <v>83</v>
      </c>
      <c r="C68" s="5" t="s">
        <v>84</v>
      </c>
      <c r="D68" s="5"/>
      <c r="E68" s="5" t="s">
        <v>14</v>
      </c>
      <c r="F68" s="5"/>
      <c r="G68" s="5"/>
      <c r="H68" s="5"/>
      <c r="I68" s="5"/>
    </row>
    <row r="69" spans="1:9">
      <c r="A69" s="5"/>
      <c r="B69" s="5" t="s">
        <v>85</v>
      </c>
      <c r="C69" s="5" t="s">
        <v>84</v>
      </c>
      <c r="D69" s="5"/>
      <c r="E69" s="5" t="s">
        <v>14</v>
      </c>
      <c r="F69" s="5"/>
      <c r="G69" s="5"/>
      <c r="H69" s="5"/>
      <c r="I69" s="5"/>
    </row>
    <row r="70" spans="1:9">
      <c r="A70" s="5"/>
      <c r="B70" s="5" t="s">
        <v>86</v>
      </c>
      <c r="C70" s="5" t="s">
        <v>84</v>
      </c>
      <c r="D70" s="5"/>
      <c r="E70" s="5" t="s">
        <v>14</v>
      </c>
      <c r="F70" s="5"/>
      <c r="G70" s="5"/>
      <c r="H70" s="5"/>
      <c r="I70" s="5"/>
    </row>
    <row r="71" spans="1:9">
      <c r="A71" s="5"/>
      <c r="B71" s="5" t="s">
        <v>87</v>
      </c>
      <c r="C71" s="5" t="s">
        <v>84</v>
      </c>
      <c r="D71" s="5"/>
      <c r="E71" s="5" t="s">
        <v>14</v>
      </c>
      <c r="F71" s="5"/>
      <c r="G71" s="5"/>
      <c r="H71" s="5"/>
      <c r="I71" s="5"/>
    </row>
    <row r="72" spans="1:9">
      <c r="A72" s="5"/>
      <c r="B72" s="5" t="s">
        <v>88</v>
      </c>
      <c r="C72" s="5" t="s">
        <v>89</v>
      </c>
      <c r="D72" s="5"/>
      <c r="E72" s="5" t="s">
        <v>14</v>
      </c>
      <c r="F72" s="5"/>
      <c r="G72" s="5"/>
      <c r="H72" s="5"/>
      <c r="I72" s="5"/>
    </row>
    <row r="73" spans="1:9">
      <c r="A73" s="5"/>
      <c r="B73" s="5" t="s">
        <v>90</v>
      </c>
      <c r="C73" s="5" t="s">
        <v>13</v>
      </c>
      <c r="D73" s="5"/>
      <c r="E73" s="5" t="s">
        <v>14</v>
      </c>
      <c r="F73" s="5"/>
      <c r="G73" s="5"/>
      <c r="H73" s="5"/>
      <c r="I73" s="5"/>
    </row>
    <row r="74" spans="1:9">
      <c r="A74" s="5"/>
      <c r="B74" s="5" t="s">
        <v>91</v>
      </c>
      <c r="C74" s="5" t="s">
        <v>55</v>
      </c>
      <c r="D74" s="5"/>
      <c r="E74" s="5" t="s">
        <v>14</v>
      </c>
      <c r="F74" s="5"/>
      <c r="G74" s="5"/>
      <c r="H74" s="5"/>
      <c r="I74" s="5"/>
    </row>
    <row r="75" spans="1:9">
      <c r="A75" s="5"/>
      <c r="B75" s="5" t="s">
        <v>92</v>
      </c>
      <c r="C75" s="5" t="s">
        <v>13</v>
      </c>
      <c r="D75" s="5"/>
      <c r="E75" s="5" t="s">
        <v>14</v>
      </c>
      <c r="F75" s="5"/>
      <c r="G75" s="5"/>
      <c r="H75" s="5"/>
      <c r="I75" s="5"/>
    </row>
    <row r="76" spans="1:9" ht="15">
      <c r="A76" s="6" t="s">
        <v>93</v>
      </c>
      <c r="B76" s="6"/>
      <c r="C76" s="6"/>
      <c r="D76" s="6"/>
      <c r="E76" s="6"/>
      <c r="F76" s="6"/>
      <c r="G76" s="6"/>
      <c r="H76" s="6"/>
      <c r="I76" s="6"/>
    </row>
    <row r="77" spans="1:9">
      <c r="A77" s="5"/>
      <c r="B77" s="5" t="s">
        <v>94</v>
      </c>
      <c r="C77" s="5" t="s">
        <v>13</v>
      </c>
      <c r="D77" s="5"/>
      <c r="E77" s="5" t="s">
        <v>14</v>
      </c>
      <c r="F77" s="5"/>
      <c r="G77" s="5"/>
      <c r="H77" s="5"/>
      <c r="I77" s="5"/>
    </row>
    <row r="78" spans="1:9">
      <c r="A78" s="5"/>
      <c r="B78" s="5" t="s">
        <v>95</v>
      </c>
      <c r="C78" s="5" t="s">
        <v>13</v>
      </c>
      <c r="D78" s="5"/>
      <c r="E78" s="5" t="s">
        <v>14</v>
      </c>
      <c r="F78" s="5"/>
      <c r="G78" s="5"/>
      <c r="H78" s="5"/>
      <c r="I78" s="5"/>
    </row>
    <row r="79" spans="1:9">
      <c r="A79" s="5"/>
      <c r="B79" s="5" t="s">
        <v>96</v>
      </c>
      <c r="C79" s="5" t="s">
        <v>40</v>
      </c>
      <c r="D79" s="5"/>
      <c r="E79" s="5" t="s">
        <v>14</v>
      </c>
      <c r="F79" s="5"/>
      <c r="G79" s="5"/>
      <c r="H79" s="5"/>
      <c r="I79" s="5"/>
    </row>
    <row r="80" spans="1:9">
      <c r="A80" s="5"/>
      <c r="B80" s="5" t="s">
        <v>97</v>
      </c>
      <c r="C80" s="5" t="s">
        <v>42</v>
      </c>
      <c r="D80" s="5"/>
      <c r="E80" s="5" t="s">
        <v>14</v>
      </c>
      <c r="F80" s="5"/>
      <c r="G80" s="5"/>
      <c r="H80" s="5"/>
      <c r="I80" s="5"/>
    </row>
    <row r="81" spans="1:9">
      <c r="A81" s="5"/>
      <c r="B81" s="5" t="s">
        <v>98</v>
      </c>
      <c r="C81" s="5" t="s">
        <v>44</v>
      </c>
      <c r="D81" s="5"/>
      <c r="E81" s="5" t="s">
        <v>14</v>
      </c>
      <c r="F81" s="5"/>
      <c r="G81" s="5"/>
      <c r="H81" s="5"/>
      <c r="I81" s="5"/>
    </row>
    <row r="82" spans="1:9">
      <c r="A82" s="5"/>
      <c r="B82" s="5" t="s">
        <v>99</v>
      </c>
      <c r="C82" s="5" t="s">
        <v>40</v>
      </c>
      <c r="D82" s="5"/>
      <c r="E82" s="5" t="s">
        <v>14</v>
      </c>
      <c r="F82" s="5"/>
      <c r="G82" s="5"/>
      <c r="H82" s="5"/>
      <c r="I82" s="5"/>
    </row>
    <row r="83" spans="1:9">
      <c r="A83" s="5"/>
      <c r="B83" s="5" t="s">
        <v>100</v>
      </c>
      <c r="C83" s="5" t="s">
        <v>42</v>
      </c>
      <c r="D83" s="5"/>
      <c r="E83" s="5" t="s">
        <v>14</v>
      </c>
      <c r="F83" s="5"/>
      <c r="G83" s="5"/>
      <c r="H83" s="5"/>
      <c r="I83" s="5"/>
    </row>
    <row r="84" spans="1:9">
      <c r="A84" s="5"/>
      <c r="B84" s="5" t="s">
        <v>101</v>
      </c>
      <c r="C84" s="5" t="s">
        <v>44</v>
      </c>
      <c r="D84" s="5"/>
      <c r="E84" s="5" t="s">
        <v>14</v>
      </c>
      <c r="F84" s="5"/>
      <c r="G84" s="5"/>
      <c r="H84" s="5"/>
      <c r="I84" s="5"/>
    </row>
    <row r="85" spans="1:9">
      <c r="A85" s="5"/>
      <c r="B85" s="5" t="s">
        <v>102</v>
      </c>
      <c r="C85" s="5" t="s">
        <v>55</v>
      </c>
      <c r="D85" s="5"/>
      <c r="E85" s="5" t="s">
        <v>14</v>
      </c>
      <c r="F85" s="5"/>
      <c r="G85" s="5"/>
      <c r="H85" s="5"/>
      <c r="I85" s="5"/>
    </row>
    <row r="86" spans="1:9">
      <c r="A86" s="5"/>
      <c r="B86" s="5" t="s">
        <v>103</v>
      </c>
      <c r="C86" s="5" t="s">
        <v>13</v>
      </c>
      <c r="D86" s="5"/>
      <c r="E86" s="5" t="s">
        <v>14</v>
      </c>
      <c r="F86" s="5"/>
      <c r="G86" s="5"/>
      <c r="H86" s="5"/>
      <c r="I86" s="5"/>
    </row>
    <row r="87" spans="1:9" ht="15">
      <c r="A87" s="6" t="s">
        <v>104</v>
      </c>
      <c r="B87" s="6"/>
      <c r="C87" s="6"/>
      <c r="D87" s="6"/>
      <c r="E87" s="6"/>
      <c r="F87" s="6"/>
      <c r="G87" s="6"/>
      <c r="H87" s="6"/>
      <c r="I87" s="6"/>
    </row>
    <row r="88" spans="1:9">
      <c r="A88" s="5"/>
      <c r="B88" s="5" t="s">
        <v>105</v>
      </c>
      <c r="C88" s="5" t="s">
        <v>13</v>
      </c>
      <c r="D88" s="5"/>
      <c r="E88" s="5" t="s">
        <v>14</v>
      </c>
      <c r="F88" s="5"/>
      <c r="G88" s="5"/>
      <c r="H88" s="5"/>
      <c r="I88" s="5"/>
    </row>
    <row r="89" spans="1:9">
      <c r="A89" s="5"/>
      <c r="B89" s="5" t="s">
        <v>106</v>
      </c>
      <c r="C89" s="5" t="s">
        <v>40</v>
      </c>
      <c r="D89" s="5"/>
      <c r="E89" s="5" t="s">
        <v>14</v>
      </c>
      <c r="F89" s="5"/>
      <c r="G89" s="5"/>
      <c r="H89" s="5"/>
      <c r="I89" s="5"/>
    </row>
    <row r="90" spans="1:9">
      <c r="A90" s="5"/>
      <c r="B90" s="5" t="s">
        <v>107</v>
      </c>
      <c r="C90" s="5" t="s">
        <v>42</v>
      </c>
      <c r="D90" s="5"/>
      <c r="E90" s="5" t="s">
        <v>14</v>
      </c>
      <c r="F90" s="5"/>
      <c r="G90" s="5"/>
      <c r="H90" s="5"/>
      <c r="I90" s="5"/>
    </row>
    <row r="91" spans="1:9">
      <c r="A91" s="5"/>
      <c r="B91" s="5" t="s">
        <v>108</v>
      </c>
      <c r="C91" s="5" t="s">
        <v>44</v>
      </c>
      <c r="D91" s="5"/>
      <c r="E91" s="5" t="s">
        <v>14</v>
      </c>
      <c r="F91" s="5"/>
      <c r="G91" s="5"/>
      <c r="H91" s="5"/>
      <c r="I91" s="5"/>
    </row>
    <row r="92" spans="1:9">
      <c r="A92" s="5"/>
      <c r="B92" s="5" t="s">
        <v>109</v>
      </c>
      <c r="C92" s="5" t="s">
        <v>40</v>
      </c>
      <c r="D92" s="5"/>
      <c r="E92" s="5" t="s">
        <v>14</v>
      </c>
      <c r="F92" s="5"/>
      <c r="G92" s="5"/>
      <c r="H92" s="5"/>
      <c r="I92" s="5"/>
    </row>
    <row r="93" spans="1:9">
      <c r="A93" s="5"/>
      <c r="B93" s="5" t="s">
        <v>110</v>
      </c>
      <c r="C93" s="5" t="s">
        <v>42</v>
      </c>
      <c r="D93" s="5"/>
      <c r="E93" s="5" t="s">
        <v>14</v>
      </c>
      <c r="F93" s="5"/>
      <c r="G93" s="5"/>
      <c r="H93" s="5"/>
      <c r="I93" s="5"/>
    </row>
    <row r="94" spans="1:9">
      <c r="A94" s="5"/>
      <c r="B94" s="5" t="s">
        <v>111</v>
      </c>
      <c r="C94" s="5" t="s">
        <v>44</v>
      </c>
      <c r="D94" s="5"/>
      <c r="E94" s="5" t="s">
        <v>14</v>
      </c>
      <c r="F94" s="5"/>
      <c r="G94" s="5"/>
      <c r="H94" s="5"/>
      <c r="I94" s="5"/>
    </row>
    <row r="95" spans="1:9">
      <c r="A95" s="5"/>
      <c r="B95" s="5" t="s">
        <v>112</v>
      </c>
      <c r="C95" s="5" t="s">
        <v>113</v>
      </c>
      <c r="D95" s="5"/>
      <c r="E95" s="5" t="s">
        <v>14</v>
      </c>
      <c r="F95" s="5"/>
      <c r="G95" s="5"/>
      <c r="H95" s="5"/>
      <c r="I95" s="5"/>
    </row>
    <row r="96" spans="1:9">
      <c r="A96" s="5"/>
      <c r="B96" s="5" t="s">
        <v>114</v>
      </c>
      <c r="C96" s="5" t="s">
        <v>113</v>
      </c>
      <c r="D96" s="5"/>
      <c r="E96" s="5" t="s">
        <v>14</v>
      </c>
      <c r="F96" s="5"/>
      <c r="G96" s="5"/>
      <c r="H96" s="5"/>
      <c r="I96" s="5"/>
    </row>
    <row r="97" spans="1:9">
      <c r="A97" s="5"/>
      <c r="B97" s="5" t="s">
        <v>115</v>
      </c>
      <c r="C97" s="5" t="s">
        <v>113</v>
      </c>
      <c r="D97" s="5"/>
      <c r="E97" s="5" t="s">
        <v>14</v>
      </c>
      <c r="F97" s="5"/>
      <c r="G97" s="5"/>
      <c r="H97" s="5"/>
      <c r="I97" s="5"/>
    </row>
    <row r="98" spans="1:9">
      <c r="A98" s="5"/>
      <c r="B98" s="5" t="s">
        <v>116</v>
      </c>
      <c r="C98" s="5" t="s">
        <v>117</v>
      </c>
      <c r="D98" s="5"/>
      <c r="E98" s="5" t="s">
        <v>14</v>
      </c>
      <c r="F98" s="5"/>
      <c r="G98" s="5"/>
      <c r="H98" s="5"/>
      <c r="I98" s="5"/>
    </row>
    <row r="99" spans="1:9">
      <c r="A99" s="5"/>
      <c r="B99" s="5" t="s">
        <v>118</v>
      </c>
      <c r="C99" s="5" t="s">
        <v>40</v>
      </c>
      <c r="D99" s="5"/>
      <c r="E99" s="5" t="s">
        <v>14</v>
      </c>
      <c r="F99" s="5"/>
      <c r="G99" s="5"/>
      <c r="H99" s="5"/>
      <c r="I99" s="5"/>
    </row>
    <row r="100" spans="1:9">
      <c r="A100" s="5"/>
      <c r="B100" s="5" t="s">
        <v>119</v>
      </c>
      <c r="C100" s="5" t="s">
        <v>13</v>
      </c>
      <c r="D100" s="5"/>
      <c r="E100" s="5" t="s">
        <v>14</v>
      </c>
      <c r="F100" s="5"/>
      <c r="G100" s="5"/>
      <c r="H100" s="5"/>
      <c r="I100" s="5"/>
    </row>
    <row r="101" spans="1:9">
      <c r="A101" s="5"/>
      <c r="B101" s="5" t="s">
        <v>120</v>
      </c>
      <c r="C101" s="5" t="s">
        <v>13</v>
      </c>
      <c r="D101" s="5"/>
      <c r="E101" s="5" t="s">
        <v>14</v>
      </c>
      <c r="F101" s="5"/>
      <c r="G101" s="5"/>
      <c r="H101" s="5"/>
      <c r="I101" s="5"/>
    </row>
    <row r="102" spans="1:9">
      <c r="A102" s="5"/>
      <c r="B102" s="5" t="s">
        <v>121</v>
      </c>
      <c r="C102" s="5" t="s">
        <v>13</v>
      </c>
      <c r="D102" s="5"/>
      <c r="E102" s="5" t="s">
        <v>14</v>
      </c>
      <c r="F102" s="5"/>
      <c r="G102" s="5"/>
      <c r="H102" s="5"/>
      <c r="I102" s="5"/>
    </row>
    <row r="103" spans="1:9">
      <c r="A103" s="5"/>
      <c r="B103" s="5" t="s">
        <v>122</v>
      </c>
      <c r="C103" s="5" t="s">
        <v>13</v>
      </c>
      <c r="D103" s="5"/>
      <c r="E103" s="5" t="s">
        <v>14</v>
      </c>
      <c r="F103" s="5"/>
      <c r="G103" s="5"/>
      <c r="H103" s="5"/>
      <c r="I103" s="5"/>
    </row>
    <row r="104" spans="1:9">
      <c r="A104" s="5"/>
      <c r="B104" s="5" t="s">
        <v>123</v>
      </c>
      <c r="C104" s="5" t="s">
        <v>13</v>
      </c>
      <c r="D104" s="5"/>
      <c r="E104" s="5" t="s">
        <v>14</v>
      </c>
      <c r="F104" s="5"/>
      <c r="G104" s="5"/>
      <c r="H104" s="5"/>
      <c r="I104" s="5"/>
    </row>
    <row r="105" spans="1:9" ht="15">
      <c r="A105" s="6" t="s">
        <v>124</v>
      </c>
      <c r="B105" s="6"/>
      <c r="C105" s="6"/>
      <c r="D105" s="6"/>
      <c r="E105" s="6"/>
      <c r="F105" s="6"/>
      <c r="G105" s="6"/>
      <c r="H105" s="6"/>
      <c r="I105" s="6"/>
    </row>
    <row r="106" spans="1:9">
      <c r="A106" s="5"/>
      <c r="B106" s="5" t="s">
        <v>125</v>
      </c>
      <c r="C106" s="5" t="s">
        <v>13</v>
      </c>
      <c r="D106" s="5"/>
      <c r="E106" s="5" t="s">
        <v>14</v>
      </c>
      <c r="F106" s="5"/>
      <c r="G106" s="5"/>
      <c r="H106" s="5"/>
      <c r="I106" s="5"/>
    </row>
    <row r="107" spans="1:9">
      <c r="A107" s="5"/>
      <c r="B107" s="5" t="s">
        <v>126</v>
      </c>
      <c r="C107" s="5" t="s">
        <v>40</v>
      </c>
      <c r="D107" s="5"/>
      <c r="E107" s="5" t="s">
        <v>14</v>
      </c>
      <c r="F107" s="5"/>
      <c r="G107" s="5"/>
      <c r="H107" s="5"/>
      <c r="I107" s="5"/>
    </row>
    <row r="108" spans="1:9">
      <c r="A108" s="5"/>
      <c r="B108" s="5" t="s">
        <v>127</v>
      </c>
      <c r="C108" s="5" t="s">
        <v>42</v>
      </c>
      <c r="D108" s="5"/>
      <c r="E108" s="5" t="s">
        <v>14</v>
      </c>
      <c r="F108" s="5"/>
      <c r="G108" s="5"/>
      <c r="H108" s="5"/>
      <c r="I108" s="5"/>
    </row>
    <row r="109" spans="1:9">
      <c r="A109" s="5"/>
      <c r="B109" s="5" t="s">
        <v>128</v>
      </c>
      <c r="C109" s="5" t="s">
        <v>44</v>
      </c>
      <c r="D109" s="5"/>
      <c r="E109" s="5" t="s">
        <v>14</v>
      </c>
      <c r="F109" s="5"/>
      <c r="G109" s="5"/>
      <c r="H109" s="5"/>
      <c r="I109" s="5"/>
    </row>
    <row r="110" spans="1:9">
      <c r="A110" s="5"/>
      <c r="B110" s="5" t="s">
        <v>129</v>
      </c>
      <c r="C110" s="5" t="s">
        <v>40</v>
      </c>
      <c r="D110" s="5"/>
      <c r="E110" s="5" t="s">
        <v>14</v>
      </c>
      <c r="F110" s="5"/>
      <c r="G110" s="5"/>
      <c r="H110" s="5"/>
      <c r="I110" s="5"/>
    </row>
    <row r="111" spans="1:9">
      <c r="A111" s="5"/>
      <c r="B111" s="5" t="s">
        <v>130</v>
      </c>
      <c r="C111" s="5" t="s">
        <v>42</v>
      </c>
      <c r="D111" s="5"/>
      <c r="E111" s="5" t="s">
        <v>14</v>
      </c>
      <c r="F111" s="5"/>
      <c r="G111" s="5"/>
      <c r="H111" s="5"/>
      <c r="I111" s="5"/>
    </row>
    <row r="112" spans="1:9">
      <c r="A112" s="5"/>
      <c r="B112" s="5" t="s">
        <v>131</v>
      </c>
      <c r="C112" s="5" t="s">
        <v>44</v>
      </c>
      <c r="D112" s="5"/>
      <c r="E112" s="5" t="s">
        <v>14</v>
      </c>
      <c r="F112" s="5"/>
      <c r="G112" s="5"/>
      <c r="H112" s="5"/>
      <c r="I112" s="5"/>
    </row>
    <row r="113" spans="1:9" ht="15">
      <c r="A113" s="6" t="s">
        <v>132</v>
      </c>
      <c r="B113" s="6"/>
      <c r="C113" s="6"/>
      <c r="D113" s="6"/>
      <c r="E113" s="6"/>
      <c r="F113" s="6"/>
      <c r="G113" s="6"/>
      <c r="H113" s="6"/>
      <c r="I113" s="6"/>
    </row>
    <row r="114" spans="1:9">
      <c r="A114" s="5"/>
      <c r="B114" s="5" t="s">
        <v>133</v>
      </c>
      <c r="C114" s="5" t="s">
        <v>13</v>
      </c>
      <c r="D114" s="5"/>
      <c r="E114" s="5" t="s">
        <v>14</v>
      </c>
      <c r="F114" s="5"/>
      <c r="G114" s="5"/>
      <c r="H114" s="5"/>
      <c r="I114" s="5"/>
    </row>
    <row r="115" spans="1:9">
      <c r="A115" s="5"/>
      <c r="B115" s="5" t="s">
        <v>134</v>
      </c>
      <c r="C115" s="5" t="s">
        <v>40</v>
      </c>
      <c r="D115" s="5"/>
      <c r="E115" s="5" t="s">
        <v>14</v>
      </c>
      <c r="F115" s="5"/>
      <c r="G115" s="5"/>
      <c r="H115" s="5"/>
      <c r="I115" s="5"/>
    </row>
    <row r="116" spans="1:9">
      <c r="A116" s="5"/>
      <c r="B116" s="5" t="s">
        <v>135</v>
      </c>
      <c r="C116" s="5" t="s">
        <v>42</v>
      </c>
      <c r="D116" s="5"/>
      <c r="E116" s="5" t="s">
        <v>14</v>
      </c>
      <c r="F116" s="5"/>
      <c r="G116" s="5"/>
      <c r="H116" s="5"/>
      <c r="I116" s="5"/>
    </row>
    <row r="117" spans="1:9">
      <c r="A117" s="5"/>
      <c r="B117" s="5" t="s">
        <v>136</v>
      </c>
      <c r="C117" s="5" t="s">
        <v>44</v>
      </c>
      <c r="D117" s="5"/>
      <c r="E117" s="5" t="s">
        <v>14</v>
      </c>
      <c r="F117" s="5"/>
      <c r="G117" s="5"/>
      <c r="H117" s="5"/>
      <c r="I117" s="5"/>
    </row>
    <row r="118" spans="1:9">
      <c r="A118" s="5"/>
      <c r="B118" s="5" t="s">
        <v>137</v>
      </c>
      <c r="C118" s="5" t="s">
        <v>40</v>
      </c>
      <c r="D118" s="5"/>
      <c r="E118" s="5" t="s">
        <v>14</v>
      </c>
      <c r="F118" s="5"/>
      <c r="G118" s="5"/>
      <c r="H118" s="5"/>
      <c r="I118" s="5"/>
    </row>
    <row r="119" spans="1:9">
      <c r="A119" s="5"/>
      <c r="B119" s="5" t="s">
        <v>138</v>
      </c>
      <c r="C119" s="5" t="s">
        <v>42</v>
      </c>
      <c r="D119" s="5"/>
      <c r="E119" s="5" t="s">
        <v>14</v>
      </c>
      <c r="F119" s="5"/>
      <c r="G119" s="5"/>
      <c r="H119" s="5"/>
      <c r="I119" s="5"/>
    </row>
    <row r="120" spans="1:9">
      <c r="A120" s="5"/>
      <c r="B120" s="5" t="s">
        <v>139</v>
      </c>
      <c r="C120" s="5" t="s">
        <v>44</v>
      </c>
      <c r="D120" s="5"/>
      <c r="E120" s="5" t="s">
        <v>14</v>
      </c>
      <c r="F120" s="5"/>
      <c r="G120" s="5"/>
      <c r="H120" s="5"/>
      <c r="I120" s="5"/>
    </row>
  </sheetData>
  <conditionalFormatting sqref="E5:E120">
    <cfRule type="expression" dxfId="1" priority="1">
      <formula>E5="Yes"</formula>
    </cfRule>
  </conditionalFormatting>
  <conditionalFormatting sqref="F5:I21 G22:I22 F23:I120">
    <cfRule type="expression" dxfId="0" priority="2">
      <formula>F5&lt;&gt;""</formula>
    </cfRule>
  </conditionalFormatting>
  <dataValidations count="12">
    <dataValidation type="list" sqref="E6:E120" xr:uid="{00000000-0002-0000-0000-000000000000}">
      <formula1>"No,Yes"</formula1>
    </dataValidation>
    <dataValidation type="list" sqref="C114 C106 C100:C104 C88 C86 C77:C78 C75 C73 C64:C67 C62 C60 C57 C52 C42:C45 C37 C33 C29 C21:C27 C6:C19" xr:uid="{00000000-0002-0000-0000-000001000000}">
      <formula1>"-"</formula1>
    </dataValidation>
    <dataValidation type="list" sqref="C30 C118 C115 C110 C107 C99 C92 C89 C82 C79 C53" xr:uid="{00000000-0002-0000-0000-000017000000}">
      <formula1>"N,lbf"</formula1>
    </dataValidation>
    <dataValidation type="list" sqref="C31 C119 C116 C111 C108 C93 C90 C83 C80 C54" xr:uid="{00000000-0002-0000-0000-000018000000}">
      <formula1>"N/kph,N/mph,lbf/kph,lbf/mph"</formula1>
    </dataValidation>
    <dataValidation type="list" sqref="C32 C120 C117 C112 C109 C94 C91 C84 C81 C55" xr:uid="{00000000-0002-0000-0000-000019000000}">
      <formula1>"N/kph²,N/mph²,lbf/kph²,lbf/mph²"</formula1>
    </dataValidation>
    <dataValidation type="list" sqref="C46:C50 C38:C40 C35:C36" xr:uid="{00000000-0002-0000-0000-00001B000000}">
      <formula1>"kg,lb"</formula1>
    </dataValidation>
    <dataValidation type="list" sqref="C41 C85 C74" xr:uid="{00000000-0002-0000-0000-000021000000}">
      <formula1>"%,dec"</formula1>
    </dataValidation>
    <dataValidation type="list" sqref="C61 C58:C59" xr:uid="{00000000-0002-0000-0000-000030000000}">
      <formula1>"m²,ft²"</formula1>
    </dataValidation>
    <dataValidation type="list" sqref="C68:C71" xr:uid="{00000000-0002-0000-0000-000039000000}">
      <formula1>"psi,kPa,bar"</formula1>
    </dataValidation>
    <dataValidation type="list" sqref="C72" xr:uid="{00000000-0002-0000-0000-00003D000000}">
      <formula1>"N/kN,kg/t,lbf/klbf"</formula1>
    </dataValidation>
    <dataValidation type="list" sqref="C95:C97" xr:uid="{00000000-0002-0000-0000-000052000000}">
      <formula1>"Nm,lbft"</formula1>
    </dataValidation>
    <dataValidation type="list" sqref="C98" xr:uid="{00000000-0002-0000-0000-000055000000}">
      <formula1>"m,mm,in"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xr:uid="{00000000-0002-0000-0000-00006A000000}">
          <x14:formula1>
            <xm:f>LISTS!$A$2:$A$9</xm:f>
          </x14:formula1>
          <xm:sqref>F21:I21</xm:sqref>
        </x14:dataValidation>
        <x14:dataValidation type="list" xr:uid="{00000000-0002-0000-0000-00006C000000}">
          <x14:formula1>
            <xm:f>LISTS!$C$2:$C$6</xm:f>
          </x14:formula1>
          <xm:sqref>F23:I23</xm:sqref>
        </x14:dataValidation>
        <x14:dataValidation type="list" xr:uid="{00000000-0002-0000-0000-00006D000000}">
          <x14:formula1>
            <xm:f>LISTS!$D$2:$D$6</xm:f>
          </x14:formula1>
          <xm:sqref>F24:I24</xm:sqref>
        </x14:dataValidation>
        <x14:dataValidation type="list" xr:uid="{00000000-0002-0000-0000-00006E000000}">
          <x14:formula1>
            <xm:f>LISTS!$E$2:$E$6</xm:f>
          </x14:formula1>
          <xm:sqref>F25:I25</xm:sqref>
        </x14:dataValidation>
        <x14:dataValidation type="list" xr:uid="{00000000-0002-0000-0000-00006F000000}">
          <x14:formula1>
            <xm:f>LISTS!$F$2:$F$5</xm:f>
          </x14:formula1>
          <xm:sqref>F26:I26</xm:sqref>
        </x14:dataValidation>
        <x14:dataValidation type="list" xr:uid="{00000000-0002-0000-0000-000070000000}">
          <x14:formula1>
            <xm:f>LISTS!$G$2:$G$5</xm:f>
          </x14:formula1>
          <xm:sqref>F27:I27</xm:sqref>
        </x14:dataValidation>
        <x14:dataValidation type="list" xr:uid="{00000000-0002-0000-0000-000071000000}">
          <x14:formula1>
            <xm:f>LISTS!$H$2:$H$4</xm:f>
          </x14:formula1>
          <xm:sqref>F8:I8</xm:sqref>
        </x14:dataValidation>
        <x14:dataValidation type="list" xr:uid="{00000000-0002-0000-0000-000072000000}">
          <x14:formula1>
            <xm:f>LISTS!$I$2:$I$4</xm:f>
          </x14:formula1>
          <xm:sqref>F9:I9</xm:sqref>
        </x14:dataValidation>
        <x14:dataValidation type="list" xr:uid="{00000000-0002-0000-0000-000073000000}">
          <x14:formula1>
            <xm:f>LISTS!$J$2:$J$5</xm:f>
          </x14:formula1>
          <xm:sqref>F14:I14</xm:sqref>
        </x14:dataValidation>
        <x14:dataValidation type="list" xr:uid="{00000000-0002-0000-0000-000074000000}">
          <x14:formula1>
            <xm:f>LISTS!$K$2:$K$6</xm:f>
          </x14:formula1>
          <xm:sqref>F15:I15</xm:sqref>
        </x14:dataValidation>
        <x14:dataValidation type="list" xr:uid="{00000000-0002-0000-0000-000075000000}">
          <x14:formula1>
            <xm:f>LISTS!$L$2:$L$5</xm:f>
          </x14:formula1>
          <xm:sqref>F16:I16</xm:sqref>
        </x14:dataValidation>
        <x14:dataValidation type="list" xr:uid="{00000000-0002-0000-0000-000076000000}">
          <x14:formula1>
            <xm:f>LISTS!$M$2:$M$9</xm:f>
          </x14:formula1>
          <xm:sqref>F17:I17</xm:sqref>
        </x14:dataValidation>
        <x14:dataValidation type="list" xr:uid="{00000000-0002-0000-0000-000077000000}">
          <x14:formula1>
            <xm:f>LISTS!$N$2:$N$10</xm:f>
          </x14:formula1>
          <xm:sqref>F37:I37</xm:sqref>
        </x14:dataValidation>
        <x14:dataValidation type="list" xr:uid="{00000000-0002-0000-0000-000078000000}">
          <x14:formula1>
            <xm:f>LISTS!$O$2:$O$3</xm:f>
          </x14:formula1>
          <xm:sqref>F43:I43</xm:sqref>
        </x14:dataValidation>
        <x14:dataValidation type="list" xr:uid="{00000000-0002-0000-0000-000079000000}">
          <x14:formula1>
            <xm:f>LISTS!$P$2:$P$4</xm:f>
          </x14:formula1>
          <xm:sqref>F45:I45</xm:sqref>
        </x14:dataValidation>
        <x14:dataValidation type="list" xr:uid="{00000000-0002-0000-0000-00007A000000}">
          <x14:formula1>
            <xm:f>LISTS!$Q$2:$Q$4</xm:f>
          </x14:formula1>
          <xm:sqref>F57:I57</xm:sqref>
        </x14:dataValidation>
        <x14:dataValidation type="list" xr:uid="{00000000-0002-0000-0000-00007B000000}">
          <x14:formula1>
            <xm:f>LISTS!$R$2:$R$6</xm:f>
          </x14:formula1>
          <xm:sqref>F64:I64</xm:sqref>
        </x14:dataValidation>
        <x14:dataValidation type="list" xr:uid="{00000000-0002-0000-0000-00007D000000}">
          <x14:formula1>
            <xm:f>LISTS!$T$2:$T$6</xm:f>
          </x14:formula1>
          <xm:sqref>F88:I88</xm:sqref>
        </x14:dataValidation>
        <x14:dataValidation type="list" xr:uid="{00000000-0002-0000-0000-00007E000000}">
          <x14:formula1>
            <xm:f>LISTS!$U$2:$U$5</xm:f>
          </x14:formula1>
          <xm:sqref>F106:I106</xm:sqref>
        </x14:dataValidation>
        <x14:dataValidation type="list" xr:uid="{00000000-0002-0000-0000-00007F000000}">
          <x14:formula1>
            <xm:f>LISTS!$V$2:$V$5</xm:f>
          </x14:formula1>
          <xm:sqref>F114:I114</xm:sqref>
        </x14:dataValidation>
        <x14:dataValidation type="list" xr:uid="{00000000-0002-0000-0000-00006B000000}">
          <x14:formula1>
            <xm:f>LISTS!$B$2:$B$4</xm:f>
          </x14:formula1>
          <xm:sqref>G22:I22 F21</xm:sqref>
        </x14:dataValidation>
        <x14:dataValidation type="list" xr:uid="{00000000-0002-0000-0000-00007C000000}">
          <x14:formula1>
            <xm:f>LISTS!$S$2:$S$6</xm:f>
          </x14:formula1>
          <xm:sqref>F77:I77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"/>
  <sheetViews>
    <sheetView topLeftCell="A83" workbookViewId="0">
      <selection activeCell="I18" sqref="I18"/>
    </sheetView>
  </sheetViews>
  <sheetFormatPr defaultRowHeight="14.25"/>
  <cols>
    <col min="1" max="1" width="18" customWidth="1"/>
    <col min="2" max="2" width="30" customWidth="1"/>
    <col min="3" max="3" width="32" customWidth="1"/>
    <col min="4" max="4" width="18" customWidth="1"/>
    <col min="5" max="5" width="14" customWidth="1"/>
    <col min="6" max="7" width="16" customWidth="1"/>
    <col min="8" max="8" width="20" customWidth="1"/>
    <col min="9" max="9" width="48" customWidth="1"/>
  </cols>
  <sheetData>
    <row r="1" spans="1:9" ht="30">
      <c r="A1" s="8" t="s">
        <v>140</v>
      </c>
      <c r="B1" s="8" t="s">
        <v>141</v>
      </c>
      <c r="C1" s="8" t="s">
        <v>142</v>
      </c>
      <c r="D1" s="8" t="s">
        <v>248</v>
      </c>
      <c r="E1" s="8" t="s">
        <v>249</v>
      </c>
      <c r="F1" s="8" t="s">
        <v>250</v>
      </c>
      <c r="G1" s="8" t="s">
        <v>143</v>
      </c>
      <c r="H1" s="8" t="s">
        <v>251</v>
      </c>
      <c r="I1" s="8" t="s">
        <v>252</v>
      </c>
    </row>
    <row r="2" spans="1:9">
      <c r="A2" s="1" t="s">
        <v>11</v>
      </c>
      <c r="B2" s="1" t="s">
        <v>12</v>
      </c>
      <c r="C2" s="1" t="s">
        <v>252</v>
      </c>
      <c r="D2" s="1" t="s">
        <v>253</v>
      </c>
      <c r="E2" s="1" t="s">
        <v>13</v>
      </c>
      <c r="F2" s="1" t="s">
        <v>254</v>
      </c>
      <c r="G2" s="1" t="s">
        <v>255</v>
      </c>
      <c r="H2" s="1" t="s">
        <v>256</v>
      </c>
      <c r="I2" s="1" t="s">
        <v>257</v>
      </c>
    </row>
    <row r="3" spans="1:9">
      <c r="A3" s="1" t="s">
        <v>11</v>
      </c>
      <c r="B3" s="1" t="s">
        <v>15</v>
      </c>
      <c r="C3" s="1" t="s">
        <v>258</v>
      </c>
      <c r="D3" s="1" t="s">
        <v>253</v>
      </c>
      <c r="E3" s="1" t="s">
        <v>13</v>
      </c>
      <c r="F3" s="1" t="s">
        <v>254</v>
      </c>
      <c r="G3" s="1" t="s">
        <v>255</v>
      </c>
      <c r="H3" s="1" t="s">
        <v>256</v>
      </c>
      <c r="I3" s="1" t="s">
        <v>259</v>
      </c>
    </row>
    <row r="4" spans="1:9">
      <c r="A4" s="1" t="s">
        <v>11</v>
      </c>
      <c r="B4" s="1" t="s">
        <v>16</v>
      </c>
      <c r="C4" s="1" t="s">
        <v>260</v>
      </c>
      <c r="D4" s="1" t="s">
        <v>253</v>
      </c>
      <c r="E4" s="1" t="s">
        <v>13</v>
      </c>
      <c r="F4" s="1" t="s">
        <v>254</v>
      </c>
      <c r="G4" s="1" t="s">
        <v>255</v>
      </c>
      <c r="H4" s="1" t="s">
        <v>256</v>
      </c>
      <c r="I4" s="1" t="s">
        <v>261</v>
      </c>
    </row>
    <row r="5" spans="1:9">
      <c r="A5" s="1" t="s">
        <v>11</v>
      </c>
      <c r="B5" s="1" t="s">
        <v>17</v>
      </c>
      <c r="C5" s="1" t="s">
        <v>262</v>
      </c>
      <c r="D5" s="1" t="s">
        <v>253</v>
      </c>
      <c r="E5" s="1" t="s">
        <v>13</v>
      </c>
      <c r="F5" s="1" t="s">
        <v>254</v>
      </c>
      <c r="G5" s="1" t="s">
        <v>255</v>
      </c>
      <c r="H5" s="1" t="s">
        <v>256</v>
      </c>
      <c r="I5" s="1" t="s">
        <v>263</v>
      </c>
    </row>
    <row r="6" spans="1:9">
      <c r="A6" s="1" t="s">
        <v>11</v>
      </c>
      <c r="B6" s="1" t="s">
        <v>18</v>
      </c>
      <c r="C6" s="1" t="s">
        <v>264</v>
      </c>
      <c r="D6" s="1" t="s">
        <v>253</v>
      </c>
      <c r="E6" s="1" t="s">
        <v>13</v>
      </c>
      <c r="F6" s="1" t="s">
        <v>254</v>
      </c>
      <c r="G6" s="1" t="s">
        <v>255</v>
      </c>
      <c r="H6" s="1" t="s">
        <v>256</v>
      </c>
      <c r="I6" s="1" t="s">
        <v>265</v>
      </c>
    </row>
    <row r="7" spans="1:9">
      <c r="A7" s="1" t="s">
        <v>11</v>
      </c>
      <c r="B7" s="1" t="s">
        <v>19</v>
      </c>
      <c r="C7" s="1" t="s">
        <v>266</v>
      </c>
      <c r="D7" s="1" t="s">
        <v>253</v>
      </c>
      <c r="E7" s="1" t="s">
        <v>13</v>
      </c>
      <c r="F7" s="1" t="s">
        <v>254</v>
      </c>
      <c r="G7" s="1" t="s">
        <v>255</v>
      </c>
      <c r="H7" s="1" t="s">
        <v>256</v>
      </c>
      <c r="I7" s="1" t="s">
        <v>267</v>
      </c>
    </row>
    <row r="8" spans="1:9">
      <c r="A8" s="1" t="s">
        <v>11</v>
      </c>
      <c r="B8" s="1" t="s">
        <v>20</v>
      </c>
      <c r="C8" s="1" t="s">
        <v>268</v>
      </c>
      <c r="D8" s="1" t="s">
        <v>253</v>
      </c>
      <c r="E8" s="1" t="s">
        <v>13</v>
      </c>
      <c r="F8" s="1" t="s">
        <v>254</v>
      </c>
      <c r="G8" s="1" t="s">
        <v>255</v>
      </c>
      <c r="H8" s="1" t="s">
        <v>256</v>
      </c>
      <c r="I8" s="1" t="s">
        <v>269</v>
      </c>
    </row>
    <row r="9" spans="1:9">
      <c r="A9" s="1" t="s">
        <v>11</v>
      </c>
      <c r="B9" s="1" t="s">
        <v>21</v>
      </c>
      <c r="C9" s="1" t="s">
        <v>270</v>
      </c>
      <c r="D9" s="1" t="s">
        <v>253</v>
      </c>
      <c r="E9" s="1" t="s">
        <v>13</v>
      </c>
      <c r="F9" s="1" t="s">
        <v>254</v>
      </c>
      <c r="G9" s="1" t="s">
        <v>255</v>
      </c>
      <c r="H9" s="1" t="s">
        <v>256</v>
      </c>
      <c r="I9" s="1" t="s">
        <v>271</v>
      </c>
    </row>
    <row r="10" spans="1:9">
      <c r="A10" s="1" t="s">
        <v>11</v>
      </c>
      <c r="B10" s="1" t="s">
        <v>22</v>
      </c>
      <c r="C10" s="1" t="s">
        <v>272</v>
      </c>
      <c r="D10" s="1" t="s">
        <v>253</v>
      </c>
      <c r="E10" s="1" t="s">
        <v>13</v>
      </c>
      <c r="F10" s="1" t="s">
        <v>254</v>
      </c>
      <c r="G10" s="1" t="s">
        <v>255</v>
      </c>
      <c r="H10" s="1" t="s">
        <v>256</v>
      </c>
      <c r="I10" s="1" t="s">
        <v>273</v>
      </c>
    </row>
    <row r="11" spans="1:9">
      <c r="A11" s="1" t="s">
        <v>11</v>
      </c>
      <c r="B11" s="1" t="s">
        <v>23</v>
      </c>
      <c r="C11" s="1" t="s">
        <v>274</v>
      </c>
      <c r="D11" s="1" t="s">
        <v>253</v>
      </c>
      <c r="E11" s="1" t="s">
        <v>13</v>
      </c>
      <c r="F11" s="1" t="s">
        <v>254</v>
      </c>
      <c r="G11" s="1" t="s">
        <v>255</v>
      </c>
      <c r="H11" s="1" t="s">
        <v>256</v>
      </c>
      <c r="I11" s="1" t="s">
        <v>275</v>
      </c>
    </row>
    <row r="12" spans="1:9">
      <c r="A12" s="1" t="s">
        <v>11</v>
      </c>
      <c r="B12" s="1" t="s">
        <v>24</v>
      </c>
      <c r="C12" s="1" t="s">
        <v>276</v>
      </c>
      <c r="D12" s="1" t="s">
        <v>253</v>
      </c>
      <c r="E12" s="1" t="s">
        <v>13</v>
      </c>
      <c r="F12" s="1" t="s">
        <v>254</v>
      </c>
      <c r="G12" s="1" t="s">
        <v>255</v>
      </c>
      <c r="H12" s="1" t="s">
        <v>277</v>
      </c>
      <c r="I12" s="1" t="s">
        <v>278</v>
      </c>
    </row>
    <row r="13" spans="1:9">
      <c r="A13" s="1" t="s">
        <v>11</v>
      </c>
      <c r="B13" s="1" t="s">
        <v>25</v>
      </c>
      <c r="C13" s="1" t="s">
        <v>279</v>
      </c>
      <c r="D13" s="1" t="s">
        <v>253</v>
      </c>
      <c r="E13" s="1" t="s">
        <v>13</v>
      </c>
      <c r="F13" s="1" t="s">
        <v>254</v>
      </c>
      <c r="G13" s="1" t="s">
        <v>255</v>
      </c>
      <c r="H13" s="1" t="s">
        <v>277</v>
      </c>
      <c r="I13" s="1" t="s">
        <v>280</v>
      </c>
    </row>
    <row r="14" spans="1:9">
      <c r="A14" s="1" t="s">
        <v>11</v>
      </c>
      <c r="B14" s="1" t="s">
        <v>26</v>
      </c>
      <c r="C14" s="1" t="s">
        <v>281</v>
      </c>
      <c r="D14" s="1" t="s">
        <v>253</v>
      </c>
      <c r="E14" s="1" t="s">
        <v>13</v>
      </c>
      <c r="F14" s="1" t="s">
        <v>254</v>
      </c>
      <c r="G14" s="1" t="s">
        <v>255</v>
      </c>
      <c r="H14" s="1" t="s">
        <v>256</v>
      </c>
      <c r="I14" s="1" t="s">
        <v>282</v>
      </c>
    </row>
    <row r="15" spans="1:9">
      <c r="A15" s="1" t="s">
        <v>11</v>
      </c>
      <c r="B15" s="1" t="s">
        <v>27</v>
      </c>
      <c r="C15" s="1" t="s">
        <v>283</v>
      </c>
      <c r="D15" s="1" t="s">
        <v>253</v>
      </c>
      <c r="E15" s="1" t="s">
        <v>13</v>
      </c>
      <c r="F15" s="1" t="s">
        <v>254</v>
      </c>
      <c r="G15" s="1" t="s">
        <v>255</v>
      </c>
      <c r="H15" s="1" t="s">
        <v>277</v>
      </c>
      <c r="I15" s="1" t="s">
        <v>284</v>
      </c>
    </row>
    <row r="16" spans="1:9" ht="28.5">
      <c r="A16" s="1" t="s">
        <v>28</v>
      </c>
      <c r="B16" s="1" t="s">
        <v>29</v>
      </c>
      <c r="C16" s="1" t="s">
        <v>285</v>
      </c>
      <c r="D16" s="1" t="s">
        <v>286</v>
      </c>
      <c r="E16" s="1" t="s">
        <v>13</v>
      </c>
      <c r="F16" s="1" t="s">
        <v>287</v>
      </c>
      <c r="G16" s="1" t="s">
        <v>255</v>
      </c>
      <c r="H16" s="1" t="s">
        <v>256</v>
      </c>
      <c r="I16" s="1" t="s">
        <v>288</v>
      </c>
    </row>
    <row r="17" spans="1:9">
      <c r="A17" s="1" t="s">
        <v>28</v>
      </c>
      <c r="B17" s="1" t="s">
        <v>31</v>
      </c>
      <c r="C17" s="1" t="s">
        <v>289</v>
      </c>
      <c r="D17" s="1" t="s">
        <v>290</v>
      </c>
      <c r="E17" s="1" t="s">
        <v>13</v>
      </c>
      <c r="F17" s="1" t="s">
        <v>287</v>
      </c>
      <c r="G17" s="1" t="s">
        <v>255</v>
      </c>
      <c r="H17" s="1" t="s">
        <v>256</v>
      </c>
      <c r="I17" s="1" t="s">
        <v>291</v>
      </c>
    </row>
    <row r="18" spans="1:9">
      <c r="A18" s="1" t="s">
        <v>28</v>
      </c>
      <c r="B18" s="1" t="s">
        <v>32</v>
      </c>
      <c r="C18" s="1" t="s">
        <v>292</v>
      </c>
      <c r="D18" s="1" t="s">
        <v>293</v>
      </c>
      <c r="E18" s="1" t="s">
        <v>13</v>
      </c>
      <c r="F18" s="1" t="s">
        <v>287</v>
      </c>
      <c r="G18" s="1" t="s">
        <v>255</v>
      </c>
      <c r="H18" s="1" t="s">
        <v>256</v>
      </c>
      <c r="I18" s="1" t="s">
        <v>294</v>
      </c>
    </row>
    <row r="19" spans="1:9">
      <c r="A19" s="1" t="s">
        <v>28</v>
      </c>
      <c r="B19" s="1" t="s">
        <v>33</v>
      </c>
      <c r="C19" s="1" t="s">
        <v>295</v>
      </c>
      <c r="D19" s="1" t="s">
        <v>296</v>
      </c>
      <c r="E19" s="1" t="s">
        <v>13</v>
      </c>
      <c r="F19" s="1" t="s">
        <v>287</v>
      </c>
      <c r="G19" s="1" t="s">
        <v>255</v>
      </c>
      <c r="H19" s="1" t="s">
        <v>256</v>
      </c>
      <c r="I19" s="1" t="s">
        <v>297</v>
      </c>
    </row>
    <row r="20" spans="1:9">
      <c r="A20" s="1" t="s">
        <v>28</v>
      </c>
      <c r="B20" s="1" t="s">
        <v>34</v>
      </c>
      <c r="C20" s="1" t="s">
        <v>298</v>
      </c>
      <c r="D20" s="1" t="s">
        <v>299</v>
      </c>
      <c r="E20" s="1" t="s">
        <v>13</v>
      </c>
      <c r="F20" s="1" t="s">
        <v>287</v>
      </c>
      <c r="G20" s="1" t="s">
        <v>255</v>
      </c>
      <c r="H20" s="1" t="s">
        <v>256</v>
      </c>
      <c r="I20" s="1" t="s">
        <v>300</v>
      </c>
    </row>
    <row r="21" spans="1:9">
      <c r="A21" s="1" t="s">
        <v>28</v>
      </c>
      <c r="B21" s="1" t="s">
        <v>35</v>
      </c>
      <c r="C21" s="1" t="s">
        <v>301</v>
      </c>
      <c r="D21" s="1" t="s">
        <v>302</v>
      </c>
      <c r="E21" s="1" t="s">
        <v>13</v>
      </c>
      <c r="F21" s="1" t="s">
        <v>287</v>
      </c>
      <c r="G21" s="1" t="s">
        <v>255</v>
      </c>
      <c r="H21" s="1" t="s">
        <v>256</v>
      </c>
      <c r="I21" s="1" t="s">
        <v>303</v>
      </c>
    </row>
    <row r="22" spans="1:9">
      <c r="A22" s="1" t="s">
        <v>28</v>
      </c>
      <c r="B22" s="1" t="s">
        <v>36</v>
      </c>
      <c r="C22" s="1" t="s">
        <v>304</v>
      </c>
      <c r="D22" s="1" t="s">
        <v>305</v>
      </c>
      <c r="E22" s="1" t="s">
        <v>13</v>
      </c>
      <c r="F22" s="1" t="s">
        <v>287</v>
      </c>
      <c r="G22" s="1" t="s">
        <v>255</v>
      </c>
      <c r="H22" s="1" t="s">
        <v>256</v>
      </c>
      <c r="I22" s="1" t="s">
        <v>306</v>
      </c>
    </row>
    <row r="23" spans="1:9" ht="28.5">
      <c r="A23" s="1" t="s">
        <v>37</v>
      </c>
      <c r="B23" s="1" t="s">
        <v>38</v>
      </c>
      <c r="C23" s="1" t="s">
        <v>307</v>
      </c>
      <c r="D23" s="1" t="s">
        <v>308</v>
      </c>
      <c r="E23" s="1" t="s">
        <v>13</v>
      </c>
      <c r="F23" s="1" t="s">
        <v>309</v>
      </c>
      <c r="G23" s="1" t="s">
        <v>255</v>
      </c>
      <c r="H23" s="1" t="s">
        <v>256</v>
      </c>
      <c r="I23" s="1" t="s">
        <v>310</v>
      </c>
    </row>
    <row r="24" spans="1:9">
      <c r="A24" s="1" t="s">
        <v>37</v>
      </c>
      <c r="B24" s="1" t="s">
        <v>39</v>
      </c>
      <c r="C24" s="1" t="s">
        <v>144</v>
      </c>
      <c r="D24" s="1" t="s">
        <v>308</v>
      </c>
      <c r="E24" s="1" t="s">
        <v>40</v>
      </c>
      <c r="F24" s="1" t="s">
        <v>309</v>
      </c>
      <c r="G24" s="1" t="s">
        <v>145</v>
      </c>
      <c r="H24" s="1" t="s">
        <v>256</v>
      </c>
      <c r="I24" s="1" t="s">
        <v>146</v>
      </c>
    </row>
    <row r="25" spans="1:9">
      <c r="A25" s="1" t="s">
        <v>37</v>
      </c>
      <c r="B25" s="1" t="s">
        <v>41</v>
      </c>
      <c r="C25" s="1" t="s">
        <v>147</v>
      </c>
      <c r="D25" s="1" t="s">
        <v>308</v>
      </c>
      <c r="E25" s="1" t="s">
        <v>42</v>
      </c>
      <c r="F25" s="1" t="s">
        <v>309</v>
      </c>
      <c r="G25" s="1" t="s">
        <v>145</v>
      </c>
      <c r="H25" s="1" t="s">
        <v>256</v>
      </c>
      <c r="I25" s="1" t="s">
        <v>148</v>
      </c>
    </row>
    <row r="26" spans="1:9">
      <c r="A26" s="1" t="s">
        <v>37</v>
      </c>
      <c r="B26" s="1" t="s">
        <v>43</v>
      </c>
      <c r="C26" s="1" t="s">
        <v>149</v>
      </c>
      <c r="D26" s="1" t="s">
        <v>308</v>
      </c>
      <c r="E26" s="1" t="s">
        <v>44</v>
      </c>
      <c r="F26" s="1" t="s">
        <v>309</v>
      </c>
      <c r="G26" s="1" t="s">
        <v>145</v>
      </c>
      <c r="H26" s="1" t="s">
        <v>256</v>
      </c>
      <c r="I26" s="1" t="s">
        <v>150</v>
      </c>
    </row>
    <row r="27" spans="1:9">
      <c r="A27" s="1" t="s">
        <v>37</v>
      </c>
      <c r="B27" s="1" t="s">
        <v>45</v>
      </c>
      <c r="C27" s="1" t="s">
        <v>311</v>
      </c>
      <c r="D27" s="1" t="s">
        <v>308</v>
      </c>
      <c r="E27" s="1" t="s">
        <v>13</v>
      </c>
      <c r="F27" s="1" t="s">
        <v>254</v>
      </c>
      <c r="G27" s="1" t="s">
        <v>255</v>
      </c>
      <c r="H27" s="1" t="s">
        <v>277</v>
      </c>
      <c r="I27" s="1" t="s">
        <v>312</v>
      </c>
    </row>
    <row r="28" spans="1:9">
      <c r="A28" s="1" t="s">
        <v>46</v>
      </c>
      <c r="B28" s="1" t="s">
        <v>47</v>
      </c>
      <c r="C28" s="1" t="s">
        <v>151</v>
      </c>
      <c r="D28" s="1" t="s">
        <v>286</v>
      </c>
      <c r="E28" s="1" t="s">
        <v>48</v>
      </c>
      <c r="F28" s="1" t="s">
        <v>309</v>
      </c>
      <c r="G28" s="1" t="s">
        <v>145</v>
      </c>
      <c r="H28" s="1" t="s">
        <v>256</v>
      </c>
      <c r="I28" s="1" t="s">
        <v>152</v>
      </c>
    </row>
    <row r="29" spans="1:9">
      <c r="A29" s="1" t="s">
        <v>46</v>
      </c>
      <c r="B29" s="1" t="s">
        <v>49</v>
      </c>
      <c r="C29" s="1" t="s">
        <v>153</v>
      </c>
      <c r="D29" s="1" t="s">
        <v>286</v>
      </c>
      <c r="E29" s="1" t="s">
        <v>48</v>
      </c>
      <c r="F29" s="1" t="s">
        <v>309</v>
      </c>
      <c r="G29" s="1" t="s">
        <v>145</v>
      </c>
      <c r="H29" s="1" t="s">
        <v>256</v>
      </c>
      <c r="I29" s="1" t="s">
        <v>154</v>
      </c>
    </row>
    <row r="30" spans="1:9">
      <c r="A30" s="1" t="s">
        <v>46</v>
      </c>
      <c r="B30" s="1" t="s">
        <v>50</v>
      </c>
      <c r="C30" s="1" t="s">
        <v>313</v>
      </c>
      <c r="D30" s="1" t="s">
        <v>286</v>
      </c>
      <c r="E30" s="1" t="s">
        <v>13</v>
      </c>
      <c r="F30" s="1" t="s">
        <v>309</v>
      </c>
      <c r="G30" s="1" t="s">
        <v>255</v>
      </c>
      <c r="H30" s="1" t="s">
        <v>256</v>
      </c>
      <c r="I30" s="1" t="s">
        <v>314</v>
      </c>
    </row>
    <row r="31" spans="1:9">
      <c r="A31" s="1" t="s">
        <v>46</v>
      </c>
      <c r="B31" s="1" t="s">
        <v>51</v>
      </c>
      <c r="C31" s="1" t="s">
        <v>155</v>
      </c>
      <c r="D31" s="1" t="s">
        <v>286</v>
      </c>
      <c r="E31" s="1" t="s">
        <v>48</v>
      </c>
      <c r="F31" s="1" t="s">
        <v>309</v>
      </c>
      <c r="G31" s="1" t="s">
        <v>145</v>
      </c>
      <c r="H31" s="1" t="s">
        <v>256</v>
      </c>
      <c r="I31" s="1" t="s">
        <v>156</v>
      </c>
    </row>
    <row r="32" spans="1:9">
      <c r="A32" s="1" t="s">
        <v>46</v>
      </c>
      <c r="B32" s="1" t="s">
        <v>52</v>
      </c>
      <c r="C32" s="1" t="s">
        <v>157</v>
      </c>
      <c r="D32" s="1" t="s">
        <v>286</v>
      </c>
      <c r="E32" s="1" t="s">
        <v>48</v>
      </c>
      <c r="F32" s="1" t="s">
        <v>309</v>
      </c>
      <c r="G32" s="1" t="s">
        <v>145</v>
      </c>
      <c r="H32" s="1" t="s">
        <v>256</v>
      </c>
      <c r="I32" s="1" t="s">
        <v>158</v>
      </c>
    </row>
    <row r="33" spans="1:9">
      <c r="A33" s="1" t="s">
        <v>46</v>
      </c>
      <c r="B33" s="1" t="s">
        <v>53</v>
      </c>
      <c r="C33" s="1" t="s">
        <v>159</v>
      </c>
      <c r="D33" s="1" t="s">
        <v>286</v>
      </c>
      <c r="E33" s="1" t="s">
        <v>48</v>
      </c>
      <c r="F33" s="1" t="s">
        <v>309</v>
      </c>
      <c r="G33" s="1" t="s">
        <v>145</v>
      </c>
      <c r="H33" s="1" t="s">
        <v>256</v>
      </c>
      <c r="I33" s="1" t="s">
        <v>160</v>
      </c>
    </row>
    <row r="34" spans="1:9">
      <c r="A34" s="1" t="s">
        <v>46</v>
      </c>
      <c r="B34" s="1" t="s">
        <v>54</v>
      </c>
      <c r="C34" s="1" t="s">
        <v>161</v>
      </c>
      <c r="D34" s="1" t="s">
        <v>286</v>
      </c>
      <c r="E34" s="1" t="s">
        <v>55</v>
      </c>
      <c r="F34" s="1" t="s">
        <v>309</v>
      </c>
      <c r="G34" s="1" t="s">
        <v>145</v>
      </c>
      <c r="H34" s="1" t="s">
        <v>256</v>
      </c>
      <c r="I34" s="1" t="s">
        <v>162</v>
      </c>
    </row>
    <row r="35" spans="1:9">
      <c r="A35" s="1" t="s">
        <v>46</v>
      </c>
      <c r="B35" s="1" t="s">
        <v>56</v>
      </c>
      <c r="C35" s="1" t="s">
        <v>315</v>
      </c>
      <c r="D35" s="1" t="s">
        <v>286</v>
      </c>
      <c r="E35" s="1" t="s">
        <v>13</v>
      </c>
      <c r="F35" s="1" t="s">
        <v>309</v>
      </c>
      <c r="G35" s="1" t="s">
        <v>255</v>
      </c>
      <c r="H35" s="1" t="s">
        <v>256</v>
      </c>
      <c r="I35" s="1" t="s">
        <v>316</v>
      </c>
    </row>
    <row r="36" spans="1:9">
      <c r="A36" s="1" t="s">
        <v>46</v>
      </c>
      <c r="B36" s="1" t="s">
        <v>57</v>
      </c>
      <c r="C36" s="1" t="s">
        <v>317</v>
      </c>
      <c r="D36" s="1" t="s">
        <v>286</v>
      </c>
      <c r="E36" s="1" t="s">
        <v>13</v>
      </c>
      <c r="F36" s="1" t="s">
        <v>309</v>
      </c>
      <c r="G36" s="1" t="s">
        <v>255</v>
      </c>
      <c r="H36" s="1" t="s">
        <v>256</v>
      </c>
      <c r="I36" s="1" t="s">
        <v>318</v>
      </c>
    </row>
    <row r="37" spans="1:9">
      <c r="A37" s="1" t="s">
        <v>46</v>
      </c>
      <c r="B37" s="1" t="s">
        <v>58</v>
      </c>
      <c r="C37" s="1" t="s">
        <v>163</v>
      </c>
      <c r="D37" s="1" t="s">
        <v>286</v>
      </c>
      <c r="E37" s="1" t="s">
        <v>13</v>
      </c>
      <c r="F37" s="1" t="s">
        <v>309</v>
      </c>
      <c r="G37" s="1" t="s">
        <v>164</v>
      </c>
      <c r="H37" s="1" t="s">
        <v>256</v>
      </c>
      <c r="I37" s="1" t="s">
        <v>165</v>
      </c>
    </row>
    <row r="38" spans="1:9">
      <c r="A38" s="1" t="s">
        <v>46</v>
      </c>
      <c r="B38" s="1" t="s">
        <v>59</v>
      </c>
      <c r="C38" s="1" t="s">
        <v>319</v>
      </c>
      <c r="D38" s="1" t="s">
        <v>286</v>
      </c>
      <c r="E38" s="1" t="s">
        <v>13</v>
      </c>
      <c r="F38" s="1" t="s">
        <v>309</v>
      </c>
      <c r="G38" s="1" t="s">
        <v>255</v>
      </c>
      <c r="H38" s="1" t="s">
        <v>256</v>
      </c>
      <c r="I38" s="1" t="s">
        <v>320</v>
      </c>
    </row>
    <row r="39" spans="1:9" ht="28.5">
      <c r="A39" s="1" t="s">
        <v>46</v>
      </c>
      <c r="B39" s="1" t="s">
        <v>60</v>
      </c>
      <c r="C39" s="1" t="s">
        <v>166</v>
      </c>
      <c r="D39" s="1" t="s">
        <v>286</v>
      </c>
      <c r="E39" s="1" t="s">
        <v>48</v>
      </c>
      <c r="F39" s="1" t="s">
        <v>309</v>
      </c>
      <c r="G39" s="1" t="s">
        <v>145</v>
      </c>
      <c r="H39" s="1" t="s">
        <v>256</v>
      </c>
      <c r="I39" s="1" t="s">
        <v>167</v>
      </c>
    </row>
    <row r="40" spans="1:9" ht="28.5">
      <c r="A40" s="1" t="s">
        <v>46</v>
      </c>
      <c r="B40" s="1" t="s">
        <v>61</v>
      </c>
      <c r="C40" s="1" t="s">
        <v>168</v>
      </c>
      <c r="D40" s="1" t="s">
        <v>286</v>
      </c>
      <c r="E40" s="1" t="s">
        <v>48</v>
      </c>
      <c r="F40" s="1" t="s">
        <v>309</v>
      </c>
      <c r="G40" s="1" t="s">
        <v>145</v>
      </c>
      <c r="H40" s="1" t="s">
        <v>256</v>
      </c>
      <c r="I40" s="1" t="s">
        <v>169</v>
      </c>
    </row>
    <row r="41" spans="1:9" ht="28.5">
      <c r="A41" s="1" t="s">
        <v>46</v>
      </c>
      <c r="B41" s="1" t="s">
        <v>62</v>
      </c>
      <c r="C41" s="1" t="s">
        <v>170</v>
      </c>
      <c r="D41" s="1" t="s">
        <v>286</v>
      </c>
      <c r="E41" s="1" t="s">
        <v>48</v>
      </c>
      <c r="F41" s="1" t="s">
        <v>309</v>
      </c>
      <c r="G41" s="1" t="s">
        <v>145</v>
      </c>
      <c r="H41" s="1" t="s">
        <v>256</v>
      </c>
      <c r="I41" s="1" t="s">
        <v>169</v>
      </c>
    </row>
    <row r="42" spans="1:9" ht="28.5">
      <c r="A42" s="1" t="s">
        <v>46</v>
      </c>
      <c r="B42" s="1" t="s">
        <v>63</v>
      </c>
      <c r="C42" s="1" t="s">
        <v>171</v>
      </c>
      <c r="D42" s="1" t="s">
        <v>286</v>
      </c>
      <c r="E42" s="1" t="s">
        <v>48</v>
      </c>
      <c r="F42" s="1" t="s">
        <v>309</v>
      </c>
      <c r="G42" s="1" t="s">
        <v>145</v>
      </c>
      <c r="H42" s="1" t="s">
        <v>256</v>
      </c>
      <c r="I42" s="1" t="s">
        <v>172</v>
      </c>
    </row>
    <row r="43" spans="1:9">
      <c r="A43" s="1" t="s">
        <v>46</v>
      </c>
      <c r="B43" s="1" t="s">
        <v>64</v>
      </c>
      <c r="C43" s="1" t="s">
        <v>173</v>
      </c>
      <c r="D43" s="1" t="s">
        <v>286</v>
      </c>
      <c r="E43" s="1" t="s">
        <v>48</v>
      </c>
      <c r="F43" s="1" t="s">
        <v>321</v>
      </c>
      <c r="G43" s="1" t="s">
        <v>145</v>
      </c>
      <c r="H43" s="1" t="s">
        <v>277</v>
      </c>
      <c r="I43" s="1" t="s">
        <v>174</v>
      </c>
    </row>
    <row r="44" spans="1:9">
      <c r="A44" s="1" t="s">
        <v>65</v>
      </c>
      <c r="B44" s="1" t="s">
        <v>66</v>
      </c>
      <c r="C44" s="1" t="s">
        <v>322</v>
      </c>
      <c r="D44" s="1" t="s">
        <v>323</v>
      </c>
      <c r="E44" s="1" t="s">
        <v>13</v>
      </c>
      <c r="F44" s="1" t="s">
        <v>309</v>
      </c>
      <c r="G44" s="1" t="s">
        <v>255</v>
      </c>
      <c r="H44" s="1" t="s">
        <v>256</v>
      </c>
      <c r="I44" s="1" t="s">
        <v>324</v>
      </c>
    </row>
    <row r="45" spans="1:9">
      <c r="A45" s="1" t="s">
        <v>65</v>
      </c>
      <c r="B45" s="1" t="s">
        <v>67</v>
      </c>
      <c r="C45" s="1" t="s">
        <v>175</v>
      </c>
      <c r="D45" s="1" t="s">
        <v>323</v>
      </c>
      <c r="E45" s="1" t="s">
        <v>40</v>
      </c>
      <c r="F45" s="1" t="s">
        <v>309</v>
      </c>
      <c r="G45" s="1" t="s">
        <v>145</v>
      </c>
      <c r="H45" s="1" t="s">
        <v>256</v>
      </c>
      <c r="I45" s="1" t="s">
        <v>176</v>
      </c>
    </row>
    <row r="46" spans="1:9">
      <c r="A46" s="1" t="s">
        <v>65</v>
      </c>
      <c r="B46" s="1" t="s">
        <v>68</v>
      </c>
      <c r="C46" s="1" t="s">
        <v>177</v>
      </c>
      <c r="D46" s="1" t="s">
        <v>323</v>
      </c>
      <c r="E46" s="1" t="s">
        <v>42</v>
      </c>
      <c r="F46" s="1" t="s">
        <v>309</v>
      </c>
      <c r="G46" s="1" t="s">
        <v>145</v>
      </c>
      <c r="H46" s="1" t="s">
        <v>256</v>
      </c>
      <c r="I46" s="1" t="s">
        <v>178</v>
      </c>
    </row>
    <row r="47" spans="1:9">
      <c r="A47" s="1" t="s">
        <v>65</v>
      </c>
      <c r="B47" s="1" t="s">
        <v>69</v>
      </c>
      <c r="C47" s="1" t="s">
        <v>179</v>
      </c>
      <c r="D47" s="1" t="s">
        <v>323</v>
      </c>
      <c r="E47" s="1" t="s">
        <v>44</v>
      </c>
      <c r="F47" s="1" t="s">
        <v>309</v>
      </c>
      <c r="G47" s="1" t="s">
        <v>145</v>
      </c>
      <c r="H47" s="1" t="s">
        <v>256</v>
      </c>
      <c r="I47" s="1" t="s">
        <v>180</v>
      </c>
    </row>
    <row r="48" spans="1:9">
      <c r="A48" s="1" t="s">
        <v>70</v>
      </c>
      <c r="B48" s="1" t="s">
        <v>71</v>
      </c>
      <c r="C48" s="1" t="s">
        <v>325</v>
      </c>
      <c r="D48" s="1" t="s">
        <v>290</v>
      </c>
      <c r="E48" s="1" t="s">
        <v>13</v>
      </c>
      <c r="F48" s="1" t="s">
        <v>309</v>
      </c>
      <c r="G48" s="1" t="s">
        <v>255</v>
      </c>
      <c r="H48" s="1" t="s">
        <v>256</v>
      </c>
      <c r="I48" s="1" t="s">
        <v>326</v>
      </c>
    </row>
    <row r="49" spans="1:9" ht="28.5">
      <c r="A49" s="1" t="s">
        <v>70</v>
      </c>
      <c r="B49" s="1" t="s">
        <v>72</v>
      </c>
      <c r="C49" s="1" t="s">
        <v>181</v>
      </c>
      <c r="D49" s="1" t="s">
        <v>290</v>
      </c>
      <c r="E49" s="1" t="s">
        <v>73</v>
      </c>
      <c r="F49" s="1" t="s">
        <v>309</v>
      </c>
      <c r="G49" s="1" t="s">
        <v>145</v>
      </c>
      <c r="H49" s="1" t="s">
        <v>256</v>
      </c>
      <c r="I49" s="1" t="s">
        <v>182</v>
      </c>
    </row>
    <row r="50" spans="1:9" ht="28.5">
      <c r="A50" s="1" t="s">
        <v>70</v>
      </c>
      <c r="B50" s="1" t="s">
        <v>74</v>
      </c>
      <c r="C50" s="1" t="s">
        <v>183</v>
      </c>
      <c r="D50" s="1" t="s">
        <v>290</v>
      </c>
      <c r="E50" s="1" t="s">
        <v>73</v>
      </c>
      <c r="F50" s="1" t="s">
        <v>321</v>
      </c>
      <c r="G50" s="1" t="s">
        <v>164</v>
      </c>
      <c r="H50" s="1" t="s">
        <v>256</v>
      </c>
      <c r="I50" s="1" t="s">
        <v>184</v>
      </c>
    </row>
    <row r="51" spans="1:9">
      <c r="A51" s="1" t="s">
        <v>70</v>
      </c>
      <c r="B51" s="1" t="s">
        <v>75</v>
      </c>
      <c r="C51" s="1" t="s">
        <v>185</v>
      </c>
      <c r="D51" s="1" t="s">
        <v>290</v>
      </c>
      <c r="E51" s="1" t="s">
        <v>13</v>
      </c>
      <c r="F51" s="1" t="s">
        <v>309</v>
      </c>
      <c r="G51" s="1" t="s">
        <v>145</v>
      </c>
      <c r="H51" s="1" t="s">
        <v>277</v>
      </c>
      <c r="I51" s="1" t="s">
        <v>186</v>
      </c>
    </row>
    <row r="52" spans="1:9">
      <c r="A52" s="1" t="s">
        <v>70</v>
      </c>
      <c r="B52" s="1" t="s">
        <v>76</v>
      </c>
      <c r="C52" s="1" t="s">
        <v>187</v>
      </c>
      <c r="D52" s="1" t="s">
        <v>290</v>
      </c>
      <c r="E52" s="1" t="s">
        <v>73</v>
      </c>
      <c r="F52" s="1" t="s">
        <v>309</v>
      </c>
      <c r="G52" s="1" t="s">
        <v>145</v>
      </c>
      <c r="H52" s="1" t="s">
        <v>277</v>
      </c>
      <c r="I52" s="1" t="s">
        <v>188</v>
      </c>
    </row>
    <row r="53" spans="1:9">
      <c r="A53" s="1" t="s">
        <v>70</v>
      </c>
      <c r="B53" s="1" t="s">
        <v>77</v>
      </c>
      <c r="C53" s="1" t="s">
        <v>327</v>
      </c>
      <c r="D53" s="1" t="s">
        <v>290</v>
      </c>
      <c r="E53" s="1" t="s">
        <v>13</v>
      </c>
      <c r="F53" s="1" t="s">
        <v>254</v>
      </c>
      <c r="G53" s="1" t="s">
        <v>255</v>
      </c>
      <c r="H53" s="1" t="s">
        <v>277</v>
      </c>
      <c r="I53" s="1" t="s">
        <v>328</v>
      </c>
    </row>
    <row r="54" spans="1:9">
      <c r="A54" s="1" t="s">
        <v>78</v>
      </c>
      <c r="B54" s="1" t="s">
        <v>79</v>
      </c>
      <c r="C54" s="1" t="s">
        <v>329</v>
      </c>
      <c r="D54" s="1" t="s">
        <v>293</v>
      </c>
      <c r="E54" s="1" t="s">
        <v>13</v>
      </c>
      <c r="F54" s="1" t="s">
        <v>309</v>
      </c>
      <c r="G54" s="1" t="s">
        <v>255</v>
      </c>
      <c r="H54" s="1" t="s">
        <v>256</v>
      </c>
      <c r="I54" s="1" t="s">
        <v>330</v>
      </c>
    </row>
    <row r="55" spans="1:9">
      <c r="A55" s="1" t="s">
        <v>78</v>
      </c>
      <c r="B55" s="1" t="s">
        <v>80</v>
      </c>
      <c r="C55" s="1" t="s">
        <v>331</v>
      </c>
      <c r="D55" s="1" t="s">
        <v>293</v>
      </c>
      <c r="E55" s="1" t="s">
        <v>13</v>
      </c>
      <c r="F55" s="1" t="s">
        <v>309</v>
      </c>
      <c r="G55" s="1" t="s">
        <v>255</v>
      </c>
      <c r="H55" s="1" t="s">
        <v>256</v>
      </c>
      <c r="I55" s="1" t="s">
        <v>332</v>
      </c>
    </row>
    <row r="56" spans="1:9">
      <c r="A56" s="1" t="s">
        <v>78</v>
      </c>
      <c r="B56" s="1" t="s">
        <v>81</v>
      </c>
      <c r="C56" s="1" t="s">
        <v>333</v>
      </c>
      <c r="D56" s="1" t="s">
        <v>293</v>
      </c>
      <c r="E56" s="1" t="s">
        <v>13</v>
      </c>
      <c r="F56" s="1" t="s">
        <v>309</v>
      </c>
      <c r="G56" s="1" t="s">
        <v>255</v>
      </c>
      <c r="H56" s="1" t="s">
        <v>277</v>
      </c>
      <c r="I56" s="1" t="s">
        <v>334</v>
      </c>
    </row>
    <row r="57" spans="1:9">
      <c r="A57" s="1" t="s">
        <v>78</v>
      </c>
      <c r="B57" s="1" t="s">
        <v>82</v>
      </c>
      <c r="C57" s="1" t="s">
        <v>335</v>
      </c>
      <c r="D57" s="1" t="s">
        <v>293</v>
      </c>
      <c r="E57" s="1" t="s">
        <v>13</v>
      </c>
      <c r="F57" s="1" t="s">
        <v>309</v>
      </c>
      <c r="G57" s="1" t="s">
        <v>255</v>
      </c>
      <c r="H57" s="1" t="s">
        <v>256</v>
      </c>
      <c r="I57" s="1" t="s">
        <v>336</v>
      </c>
    </row>
    <row r="58" spans="1:9">
      <c r="A58" s="1" t="s">
        <v>78</v>
      </c>
      <c r="B58" s="1" t="s">
        <v>83</v>
      </c>
      <c r="C58" s="1" t="s">
        <v>189</v>
      </c>
      <c r="D58" s="1" t="s">
        <v>293</v>
      </c>
      <c r="E58" s="1" t="s">
        <v>84</v>
      </c>
      <c r="F58" s="1" t="s">
        <v>309</v>
      </c>
      <c r="G58" s="1" t="s">
        <v>145</v>
      </c>
      <c r="H58" s="1" t="s">
        <v>256</v>
      </c>
      <c r="I58" s="1" t="s">
        <v>190</v>
      </c>
    </row>
    <row r="59" spans="1:9">
      <c r="A59" s="1" t="s">
        <v>78</v>
      </c>
      <c r="B59" s="1" t="s">
        <v>85</v>
      </c>
      <c r="C59" s="1" t="s">
        <v>191</v>
      </c>
      <c r="D59" s="1" t="s">
        <v>293</v>
      </c>
      <c r="E59" s="1" t="s">
        <v>84</v>
      </c>
      <c r="F59" s="1" t="s">
        <v>309</v>
      </c>
      <c r="G59" s="1" t="s">
        <v>145</v>
      </c>
      <c r="H59" s="1" t="s">
        <v>256</v>
      </c>
      <c r="I59" s="1" t="s">
        <v>192</v>
      </c>
    </row>
    <row r="60" spans="1:9">
      <c r="A60" s="1" t="s">
        <v>78</v>
      </c>
      <c r="B60" s="1" t="s">
        <v>86</v>
      </c>
      <c r="C60" s="1" t="s">
        <v>193</v>
      </c>
      <c r="D60" s="1" t="s">
        <v>293</v>
      </c>
      <c r="E60" s="1" t="s">
        <v>84</v>
      </c>
      <c r="F60" s="1" t="s">
        <v>309</v>
      </c>
      <c r="G60" s="1" t="s">
        <v>145</v>
      </c>
      <c r="H60" s="1" t="s">
        <v>277</v>
      </c>
      <c r="I60" s="1" t="s">
        <v>194</v>
      </c>
    </row>
    <row r="61" spans="1:9">
      <c r="A61" s="1" t="s">
        <v>78</v>
      </c>
      <c r="B61" s="1" t="s">
        <v>87</v>
      </c>
      <c r="C61" s="1" t="s">
        <v>195</v>
      </c>
      <c r="D61" s="1" t="s">
        <v>293</v>
      </c>
      <c r="E61" s="1" t="s">
        <v>84</v>
      </c>
      <c r="F61" s="1" t="s">
        <v>309</v>
      </c>
      <c r="G61" s="1" t="s">
        <v>145</v>
      </c>
      <c r="H61" s="1" t="s">
        <v>277</v>
      </c>
      <c r="I61" s="1" t="s">
        <v>196</v>
      </c>
    </row>
    <row r="62" spans="1:9">
      <c r="A62" s="1" t="s">
        <v>78</v>
      </c>
      <c r="B62" s="1" t="s">
        <v>88</v>
      </c>
      <c r="C62" s="1" t="s">
        <v>197</v>
      </c>
      <c r="D62" s="1" t="s">
        <v>293</v>
      </c>
      <c r="E62" s="1" t="s">
        <v>89</v>
      </c>
      <c r="F62" s="1" t="s">
        <v>309</v>
      </c>
      <c r="G62" s="1" t="s">
        <v>145</v>
      </c>
      <c r="H62" s="1" t="s">
        <v>256</v>
      </c>
      <c r="I62" s="1" t="s">
        <v>198</v>
      </c>
    </row>
    <row r="63" spans="1:9">
      <c r="A63" s="1" t="s">
        <v>78</v>
      </c>
      <c r="B63" s="1" t="s">
        <v>90</v>
      </c>
      <c r="C63" s="1" t="s">
        <v>199</v>
      </c>
      <c r="D63" s="1" t="s">
        <v>293</v>
      </c>
      <c r="E63" s="1" t="s">
        <v>13</v>
      </c>
      <c r="F63" s="1" t="s">
        <v>309</v>
      </c>
      <c r="G63" s="1" t="s">
        <v>145</v>
      </c>
      <c r="H63" s="1" t="s">
        <v>277</v>
      </c>
      <c r="I63" s="1" t="s">
        <v>200</v>
      </c>
    </row>
    <row r="64" spans="1:9" ht="28.5">
      <c r="A64" s="1" t="s">
        <v>78</v>
      </c>
      <c r="B64" s="1" t="s">
        <v>91</v>
      </c>
      <c r="C64" s="1" t="s">
        <v>201</v>
      </c>
      <c r="D64" s="1" t="s">
        <v>293</v>
      </c>
      <c r="E64" s="1" t="s">
        <v>55</v>
      </c>
      <c r="F64" s="1" t="s">
        <v>309</v>
      </c>
      <c r="G64" s="1" t="s">
        <v>202</v>
      </c>
      <c r="H64" s="1" t="s">
        <v>256</v>
      </c>
      <c r="I64" s="1" t="s">
        <v>203</v>
      </c>
    </row>
    <row r="65" spans="1:9">
      <c r="A65" s="1" t="s">
        <v>78</v>
      </c>
      <c r="B65" s="1" t="s">
        <v>92</v>
      </c>
      <c r="C65" s="1" t="s">
        <v>337</v>
      </c>
      <c r="D65" s="1" t="s">
        <v>293</v>
      </c>
      <c r="E65" s="1" t="s">
        <v>13</v>
      </c>
      <c r="F65" s="1" t="s">
        <v>254</v>
      </c>
      <c r="G65" s="1" t="s">
        <v>255</v>
      </c>
      <c r="H65" s="1" t="s">
        <v>277</v>
      </c>
      <c r="I65" s="1" t="s">
        <v>338</v>
      </c>
    </row>
    <row r="66" spans="1:9">
      <c r="A66" s="1" t="s">
        <v>93</v>
      </c>
      <c r="B66" s="1" t="s">
        <v>94</v>
      </c>
      <c r="C66" s="1" t="s">
        <v>339</v>
      </c>
      <c r="D66" s="1" t="s">
        <v>296</v>
      </c>
      <c r="E66" s="1" t="s">
        <v>13</v>
      </c>
      <c r="F66" s="1" t="s">
        <v>309</v>
      </c>
      <c r="G66" s="1" t="s">
        <v>255</v>
      </c>
      <c r="H66" s="1" t="s">
        <v>256</v>
      </c>
      <c r="I66" s="1" t="s">
        <v>340</v>
      </c>
    </row>
    <row r="67" spans="1:9">
      <c r="A67" s="1" t="s">
        <v>93</v>
      </c>
      <c r="B67" s="1" t="s">
        <v>95</v>
      </c>
      <c r="C67" s="1" t="s">
        <v>341</v>
      </c>
      <c r="D67" s="1" t="s">
        <v>296</v>
      </c>
      <c r="E67" s="1" t="s">
        <v>13</v>
      </c>
      <c r="F67" s="1" t="s">
        <v>254</v>
      </c>
      <c r="G67" s="1" t="s">
        <v>255</v>
      </c>
      <c r="H67" s="1" t="s">
        <v>256</v>
      </c>
      <c r="I67" s="1" t="s">
        <v>342</v>
      </c>
    </row>
    <row r="68" spans="1:9">
      <c r="A68" s="1" t="s">
        <v>93</v>
      </c>
      <c r="B68" s="1" t="s">
        <v>96</v>
      </c>
      <c r="C68" s="1" t="s">
        <v>204</v>
      </c>
      <c r="D68" s="1" t="s">
        <v>296</v>
      </c>
      <c r="E68" s="1" t="s">
        <v>40</v>
      </c>
      <c r="F68" s="1" t="s">
        <v>309</v>
      </c>
      <c r="G68" s="1" t="s">
        <v>145</v>
      </c>
      <c r="H68" s="1" t="s">
        <v>256</v>
      </c>
      <c r="I68" s="1" t="s">
        <v>205</v>
      </c>
    </row>
    <row r="69" spans="1:9">
      <c r="A69" s="1" t="s">
        <v>93</v>
      </c>
      <c r="B69" s="1" t="s">
        <v>97</v>
      </c>
      <c r="C69" s="1" t="s">
        <v>206</v>
      </c>
      <c r="D69" s="1" t="s">
        <v>296</v>
      </c>
      <c r="E69" s="1" t="s">
        <v>42</v>
      </c>
      <c r="F69" s="1" t="s">
        <v>309</v>
      </c>
      <c r="G69" s="1" t="s">
        <v>145</v>
      </c>
      <c r="H69" s="1" t="s">
        <v>256</v>
      </c>
      <c r="I69" s="1" t="s">
        <v>207</v>
      </c>
    </row>
    <row r="70" spans="1:9">
      <c r="A70" s="1" t="s">
        <v>93</v>
      </c>
      <c r="B70" s="1" t="s">
        <v>98</v>
      </c>
      <c r="C70" s="1" t="s">
        <v>208</v>
      </c>
      <c r="D70" s="1" t="s">
        <v>296</v>
      </c>
      <c r="E70" s="1" t="s">
        <v>44</v>
      </c>
      <c r="F70" s="1" t="s">
        <v>309</v>
      </c>
      <c r="G70" s="1" t="s">
        <v>145</v>
      </c>
      <c r="H70" s="1" t="s">
        <v>256</v>
      </c>
      <c r="I70" s="1" t="s">
        <v>209</v>
      </c>
    </row>
    <row r="71" spans="1:9">
      <c r="A71" s="1" t="s">
        <v>93</v>
      </c>
      <c r="B71" s="1" t="s">
        <v>99</v>
      </c>
      <c r="C71" s="1" t="s">
        <v>210</v>
      </c>
      <c r="D71" s="1" t="s">
        <v>296</v>
      </c>
      <c r="E71" s="1" t="s">
        <v>40</v>
      </c>
      <c r="F71" s="1" t="s">
        <v>321</v>
      </c>
      <c r="G71" s="1" t="s">
        <v>164</v>
      </c>
      <c r="H71" s="1" t="s">
        <v>256</v>
      </c>
      <c r="I71" s="1" t="s">
        <v>211</v>
      </c>
    </row>
    <row r="72" spans="1:9">
      <c r="A72" s="1" t="s">
        <v>93</v>
      </c>
      <c r="B72" s="1" t="s">
        <v>100</v>
      </c>
      <c r="C72" s="1" t="s">
        <v>212</v>
      </c>
      <c r="D72" s="1" t="s">
        <v>296</v>
      </c>
      <c r="E72" s="1" t="s">
        <v>42</v>
      </c>
      <c r="F72" s="1" t="s">
        <v>321</v>
      </c>
      <c r="G72" s="1" t="s">
        <v>164</v>
      </c>
      <c r="H72" s="1" t="s">
        <v>256</v>
      </c>
      <c r="I72" s="1" t="s">
        <v>211</v>
      </c>
    </row>
    <row r="73" spans="1:9">
      <c r="A73" s="1" t="s">
        <v>93</v>
      </c>
      <c r="B73" s="1" t="s">
        <v>101</v>
      </c>
      <c r="C73" s="1" t="s">
        <v>213</v>
      </c>
      <c r="D73" s="1" t="s">
        <v>296</v>
      </c>
      <c r="E73" s="1" t="s">
        <v>44</v>
      </c>
      <c r="F73" s="1" t="s">
        <v>321</v>
      </c>
      <c r="G73" s="1" t="s">
        <v>164</v>
      </c>
      <c r="H73" s="1" t="s">
        <v>256</v>
      </c>
      <c r="I73" s="1" t="s">
        <v>211</v>
      </c>
    </row>
    <row r="74" spans="1:9">
      <c r="A74" s="1" t="s">
        <v>93</v>
      </c>
      <c r="B74" s="1" t="s">
        <v>102</v>
      </c>
      <c r="C74" s="1" t="s">
        <v>214</v>
      </c>
      <c r="D74" s="1" t="s">
        <v>296</v>
      </c>
      <c r="E74" s="1" t="s">
        <v>55</v>
      </c>
      <c r="F74" s="1" t="s">
        <v>309</v>
      </c>
      <c r="G74" s="1" t="s">
        <v>202</v>
      </c>
      <c r="H74" s="1" t="s">
        <v>277</v>
      </c>
      <c r="I74" s="1" t="s">
        <v>215</v>
      </c>
    </row>
    <row r="75" spans="1:9">
      <c r="A75" s="1" t="s">
        <v>93</v>
      </c>
      <c r="B75" s="1" t="s">
        <v>103</v>
      </c>
      <c r="C75" s="1" t="s">
        <v>343</v>
      </c>
      <c r="D75" s="1" t="s">
        <v>296</v>
      </c>
      <c r="E75" s="1" t="s">
        <v>13</v>
      </c>
      <c r="F75" s="1" t="s">
        <v>254</v>
      </c>
      <c r="G75" s="1" t="s">
        <v>255</v>
      </c>
      <c r="H75" s="1" t="s">
        <v>277</v>
      </c>
      <c r="I75" s="1" t="s">
        <v>344</v>
      </c>
    </row>
    <row r="76" spans="1:9">
      <c r="A76" s="1" t="s">
        <v>104</v>
      </c>
      <c r="B76" s="1" t="s">
        <v>105</v>
      </c>
      <c r="C76" s="1" t="s">
        <v>345</v>
      </c>
      <c r="D76" s="1" t="s">
        <v>299</v>
      </c>
      <c r="E76" s="1" t="s">
        <v>13</v>
      </c>
      <c r="F76" s="1" t="s">
        <v>309</v>
      </c>
      <c r="G76" s="1" t="s">
        <v>255</v>
      </c>
      <c r="H76" s="1" t="s">
        <v>256</v>
      </c>
      <c r="I76" s="1" t="s">
        <v>346</v>
      </c>
    </row>
    <row r="77" spans="1:9">
      <c r="A77" s="1" t="s">
        <v>104</v>
      </c>
      <c r="B77" s="1" t="s">
        <v>106</v>
      </c>
      <c r="C77" s="1" t="s">
        <v>216</v>
      </c>
      <c r="D77" s="1" t="s">
        <v>299</v>
      </c>
      <c r="E77" s="1" t="s">
        <v>40</v>
      </c>
      <c r="F77" s="1" t="s">
        <v>309</v>
      </c>
      <c r="G77" s="1" t="s">
        <v>145</v>
      </c>
      <c r="H77" s="1" t="s">
        <v>256</v>
      </c>
      <c r="I77" s="1" t="s">
        <v>217</v>
      </c>
    </row>
    <row r="78" spans="1:9">
      <c r="A78" s="1" t="s">
        <v>104</v>
      </c>
      <c r="B78" s="1" t="s">
        <v>107</v>
      </c>
      <c r="C78" s="1" t="s">
        <v>218</v>
      </c>
      <c r="D78" s="1" t="s">
        <v>299</v>
      </c>
      <c r="E78" s="1" t="s">
        <v>42</v>
      </c>
      <c r="F78" s="1" t="s">
        <v>309</v>
      </c>
      <c r="G78" s="1" t="s">
        <v>145</v>
      </c>
      <c r="H78" s="1" t="s">
        <v>256</v>
      </c>
      <c r="I78" s="1" t="s">
        <v>219</v>
      </c>
    </row>
    <row r="79" spans="1:9">
      <c r="A79" s="1" t="s">
        <v>104</v>
      </c>
      <c r="B79" s="1" t="s">
        <v>108</v>
      </c>
      <c r="C79" s="1" t="s">
        <v>220</v>
      </c>
      <c r="D79" s="1" t="s">
        <v>299</v>
      </c>
      <c r="E79" s="1" t="s">
        <v>44</v>
      </c>
      <c r="F79" s="1" t="s">
        <v>309</v>
      </c>
      <c r="G79" s="1" t="s">
        <v>145</v>
      </c>
      <c r="H79" s="1" t="s">
        <v>256</v>
      </c>
      <c r="I79" s="1" t="s">
        <v>221</v>
      </c>
    </row>
    <row r="80" spans="1:9">
      <c r="A80" s="1" t="s">
        <v>104</v>
      </c>
      <c r="B80" s="1" t="s">
        <v>109</v>
      </c>
      <c r="C80" s="1" t="s">
        <v>222</v>
      </c>
      <c r="D80" s="1" t="s">
        <v>299</v>
      </c>
      <c r="E80" s="1" t="s">
        <v>40</v>
      </c>
      <c r="F80" s="1" t="s">
        <v>321</v>
      </c>
      <c r="G80" s="1" t="s">
        <v>164</v>
      </c>
      <c r="H80" s="1" t="s">
        <v>256</v>
      </c>
      <c r="I80" s="1" t="s">
        <v>211</v>
      </c>
    </row>
    <row r="81" spans="1:9">
      <c r="A81" s="1" t="s">
        <v>104</v>
      </c>
      <c r="B81" s="1" t="s">
        <v>110</v>
      </c>
      <c r="C81" s="1" t="s">
        <v>223</v>
      </c>
      <c r="D81" s="1" t="s">
        <v>299</v>
      </c>
      <c r="E81" s="1" t="s">
        <v>42</v>
      </c>
      <c r="F81" s="1" t="s">
        <v>321</v>
      </c>
      <c r="G81" s="1" t="s">
        <v>164</v>
      </c>
      <c r="H81" s="1" t="s">
        <v>256</v>
      </c>
      <c r="I81" s="1" t="s">
        <v>211</v>
      </c>
    </row>
    <row r="82" spans="1:9">
      <c r="A82" s="1" t="s">
        <v>104</v>
      </c>
      <c r="B82" s="1" t="s">
        <v>111</v>
      </c>
      <c r="C82" s="1" t="s">
        <v>224</v>
      </c>
      <c r="D82" s="1" t="s">
        <v>299</v>
      </c>
      <c r="E82" s="1" t="s">
        <v>44</v>
      </c>
      <c r="F82" s="1" t="s">
        <v>321</v>
      </c>
      <c r="G82" s="1" t="s">
        <v>164</v>
      </c>
      <c r="H82" s="1" t="s">
        <v>256</v>
      </c>
      <c r="I82" s="1" t="s">
        <v>211</v>
      </c>
    </row>
    <row r="83" spans="1:9">
      <c r="A83" s="1" t="s">
        <v>104</v>
      </c>
      <c r="B83" s="1" t="s">
        <v>112</v>
      </c>
      <c r="C83" s="1" t="s">
        <v>225</v>
      </c>
      <c r="D83" s="1" t="s">
        <v>299</v>
      </c>
      <c r="E83" s="1" t="s">
        <v>113</v>
      </c>
      <c r="F83" s="1" t="s">
        <v>309</v>
      </c>
      <c r="G83" s="1" t="s">
        <v>145</v>
      </c>
      <c r="H83" s="1" t="s">
        <v>277</v>
      </c>
      <c r="I83" s="1" t="s">
        <v>226</v>
      </c>
    </row>
    <row r="84" spans="1:9">
      <c r="A84" s="1" t="s">
        <v>104</v>
      </c>
      <c r="B84" s="1" t="s">
        <v>114</v>
      </c>
      <c r="C84" s="1" t="s">
        <v>227</v>
      </c>
      <c r="D84" s="1" t="s">
        <v>299</v>
      </c>
      <c r="E84" s="1" t="s">
        <v>113</v>
      </c>
      <c r="F84" s="1" t="s">
        <v>309</v>
      </c>
      <c r="G84" s="1" t="s">
        <v>145</v>
      </c>
      <c r="H84" s="1" t="s">
        <v>277</v>
      </c>
      <c r="I84" s="1" t="s">
        <v>226</v>
      </c>
    </row>
    <row r="85" spans="1:9">
      <c r="A85" s="1" t="s">
        <v>104</v>
      </c>
      <c r="B85" s="1" t="s">
        <v>115</v>
      </c>
      <c r="C85" s="1" t="s">
        <v>228</v>
      </c>
      <c r="D85" s="1" t="s">
        <v>299</v>
      </c>
      <c r="E85" s="1" t="s">
        <v>113</v>
      </c>
      <c r="F85" s="1" t="s">
        <v>309</v>
      </c>
      <c r="G85" s="1" t="s">
        <v>145</v>
      </c>
      <c r="H85" s="1" t="s">
        <v>277</v>
      </c>
      <c r="I85" s="1" t="s">
        <v>226</v>
      </c>
    </row>
    <row r="86" spans="1:9">
      <c r="A86" s="1" t="s">
        <v>104</v>
      </c>
      <c r="B86" s="1" t="s">
        <v>116</v>
      </c>
      <c r="C86" s="1" t="s">
        <v>229</v>
      </c>
      <c r="D86" s="1" t="s">
        <v>299</v>
      </c>
      <c r="E86" s="1" t="s">
        <v>117</v>
      </c>
      <c r="F86" s="1" t="s">
        <v>309</v>
      </c>
      <c r="G86" s="1" t="s">
        <v>145</v>
      </c>
      <c r="H86" s="1" t="s">
        <v>277</v>
      </c>
      <c r="I86" s="1" t="s">
        <v>230</v>
      </c>
    </row>
    <row r="87" spans="1:9">
      <c r="A87" s="1" t="s">
        <v>104</v>
      </c>
      <c r="B87" s="1" t="s">
        <v>118</v>
      </c>
      <c r="C87" s="1" t="s">
        <v>231</v>
      </c>
      <c r="D87" s="1" t="s">
        <v>299</v>
      </c>
      <c r="E87" s="1" t="s">
        <v>40</v>
      </c>
      <c r="F87" s="1" t="s">
        <v>309</v>
      </c>
      <c r="G87" s="1" t="s">
        <v>145</v>
      </c>
      <c r="H87" s="1" t="s">
        <v>277</v>
      </c>
      <c r="I87" s="1" t="s">
        <v>232</v>
      </c>
    </row>
    <row r="88" spans="1:9">
      <c r="A88" s="1" t="s">
        <v>104</v>
      </c>
      <c r="B88" s="1" t="s">
        <v>119</v>
      </c>
      <c r="C88" s="1" t="s">
        <v>347</v>
      </c>
      <c r="D88" s="1" t="s">
        <v>299</v>
      </c>
      <c r="E88" s="1" t="s">
        <v>13</v>
      </c>
      <c r="F88" s="1" t="s">
        <v>254</v>
      </c>
      <c r="G88" s="1" t="s">
        <v>255</v>
      </c>
      <c r="H88" s="1" t="s">
        <v>277</v>
      </c>
      <c r="I88" s="1" t="s">
        <v>348</v>
      </c>
    </row>
    <row r="89" spans="1:9">
      <c r="A89" s="1" t="s">
        <v>104</v>
      </c>
      <c r="B89" s="1" t="s">
        <v>120</v>
      </c>
      <c r="C89" s="1" t="s">
        <v>349</v>
      </c>
      <c r="D89" s="1" t="s">
        <v>299</v>
      </c>
      <c r="E89" s="1" t="s">
        <v>13</v>
      </c>
      <c r="F89" s="1" t="s">
        <v>254</v>
      </c>
      <c r="G89" s="1" t="s">
        <v>255</v>
      </c>
      <c r="H89" s="1" t="s">
        <v>277</v>
      </c>
      <c r="I89" s="1" t="s">
        <v>350</v>
      </c>
    </row>
    <row r="90" spans="1:9">
      <c r="A90" s="1" t="s">
        <v>104</v>
      </c>
      <c r="B90" s="1" t="s">
        <v>121</v>
      </c>
      <c r="C90" s="1" t="s">
        <v>351</v>
      </c>
      <c r="D90" s="1" t="s">
        <v>299</v>
      </c>
      <c r="E90" s="1" t="s">
        <v>13</v>
      </c>
      <c r="F90" s="1" t="s">
        <v>254</v>
      </c>
      <c r="G90" s="1" t="s">
        <v>255</v>
      </c>
      <c r="H90" s="1" t="s">
        <v>277</v>
      </c>
      <c r="I90" s="1" t="s">
        <v>352</v>
      </c>
    </row>
    <row r="91" spans="1:9">
      <c r="A91" s="1" t="s">
        <v>104</v>
      </c>
      <c r="B91" s="1" t="s">
        <v>122</v>
      </c>
      <c r="C91" s="1" t="s">
        <v>353</v>
      </c>
      <c r="D91" s="1" t="s">
        <v>299</v>
      </c>
      <c r="E91" s="1" t="s">
        <v>13</v>
      </c>
      <c r="F91" s="1" t="s">
        <v>254</v>
      </c>
      <c r="G91" s="1" t="s">
        <v>255</v>
      </c>
      <c r="H91" s="1" t="s">
        <v>277</v>
      </c>
      <c r="I91" s="1" t="s">
        <v>352</v>
      </c>
    </row>
    <row r="92" spans="1:9">
      <c r="A92" s="1" t="s">
        <v>104</v>
      </c>
      <c r="B92" s="1" t="s">
        <v>123</v>
      </c>
      <c r="C92" s="1" t="s">
        <v>354</v>
      </c>
      <c r="D92" s="1" t="s">
        <v>299</v>
      </c>
      <c r="E92" s="1" t="s">
        <v>13</v>
      </c>
      <c r="F92" s="1" t="s">
        <v>254</v>
      </c>
      <c r="G92" s="1" t="s">
        <v>255</v>
      </c>
      <c r="H92" s="1" t="s">
        <v>277</v>
      </c>
      <c r="I92" s="1" t="s">
        <v>355</v>
      </c>
    </row>
    <row r="93" spans="1:9">
      <c r="A93" s="1" t="s">
        <v>124</v>
      </c>
      <c r="B93" s="1" t="s">
        <v>125</v>
      </c>
      <c r="C93" s="1" t="s">
        <v>356</v>
      </c>
      <c r="D93" s="1" t="s">
        <v>302</v>
      </c>
      <c r="E93" s="1" t="s">
        <v>13</v>
      </c>
      <c r="F93" s="1" t="s">
        <v>309</v>
      </c>
      <c r="G93" s="1" t="s">
        <v>255</v>
      </c>
      <c r="H93" s="1" t="s">
        <v>256</v>
      </c>
      <c r="I93" s="1" t="s">
        <v>357</v>
      </c>
    </row>
    <row r="94" spans="1:9">
      <c r="A94" s="1" t="s">
        <v>124</v>
      </c>
      <c r="B94" s="1" t="s">
        <v>126</v>
      </c>
      <c r="C94" s="1" t="s">
        <v>233</v>
      </c>
      <c r="D94" s="1" t="s">
        <v>302</v>
      </c>
      <c r="E94" s="1" t="s">
        <v>40</v>
      </c>
      <c r="F94" s="1" t="s">
        <v>309</v>
      </c>
      <c r="G94" s="1" t="s">
        <v>145</v>
      </c>
      <c r="H94" s="1" t="s">
        <v>256</v>
      </c>
      <c r="I94" s="1" t="s">
        <v>234</v>
      </c>
    </row>
    <row r="95" spans="1:9">
      <c r="A95" s="1" t="s">
        <v>124</v>
      </c>
      <c r="B95" s="1" t="s">
        <v>127</v>
      </c>
      <c r="C95" s="1" t="s">
        <v>235</v>
      </c>
      <c r="D95" s="1" t="s">
        <v>302</v>
      </c>
      <c r="E95" s="1" t="s">
        <v>42</v>
      </c>
      <c r="F95" s="1" t="s">
        <v>309</v>
      </c>
      <c r="G95" s="1" t="s">
        <v>145</v>
      </c>
      <c r="H95" s="1" t="s">
        <v>256</v>
      </c>
      <c r="I95" s="1" t="s">
        <v>236</v>
      </c>
    </row>
    <row r="96" spans="1:9">
      <c r="A96" s="1" t="s">
        <v>124</v>
      </c>
      <c r="B96" s="1" t="s">
        <v>128</v>
      </c>
      <c r="C96" s="1" t="s">
        <v>237</v>
      </c>
      <c r="D96" s="1" t="s">
        <v>302</v>
      </c>
      <c r="E96" s="1" t="s">
        <v>44</v>
      </c>
      <c r="F96" s="1" t="s">
        <v>309</v>
      </c>
      <c r="G96" s="1" t="s">
        <v>145</v>
      </c>
      <c r="H96" s="1" t="s">
        <v>256</v>
      </c>
      <c r="I96" s="1" t="s">
        <v>238</v>
      </c>
    </row>
    <row r="97" spans="1:9">
      <c r="A97" s="1" t="s">
        <v>124</v>
      </c>
      <c r="B97" s="1" t="s">
        <v>129</v>
      </c>
      <c r="C97" s="1" t="s">
        <v>239</v>
      </c>
      <c r="D97" s="1" t="s">
        <v>302</v>
      </c>
      <c r="E97" s="1" t="s">
        <v>40</v>
      </c>
      <c r="F97" s="1" t="s">
        <v>321</v>
      </c>
      <c r="G97" s="1" t="s">
        <v>164</v>
      </c>
      <c r="H97" s="1" t="s">
        <v>256</v>
      </c>
      <c r="I97" s="1" t="s">
        <v>211</v>
      </c>
    </row>
    <row r="98" spans="1:9">
      <c r="A98" s="1" t="s">
        <v>124</v>
      </c>
      <c r="B98" s="1" t="s">
        <v>130</v>
      </c>
      <c r="C98" s="1" t="s">
        <v>240</v>
      </c>
      <c r="D98" s="1" t="s">
        <v>302</v>
      </c>
      <c r="E98" s="1" t="s">
        <v>42</v>
      </c>
      <c r="F98" s="1" t="s">
        <v>321</v>
      </c>
      <c r="G98" s="1" t="s">
        <v>164</v>
      </c>
      <c r="H98" s="1" t="s">
        <v>256</v>
      </c>
      <c r="I98" s="1" t="s">
        <v>211</v>
      </c>
    </row>
    <row r="99" spans="1:9">
      <c r="A99" s="1" t="s">
        <v>124</v>
      </c>
      <c r="B99" s="1" t="s">
        <v>131</v>
      </c>
      <c r="C99" s="1" t="s">
        <v>241</v>
      </c>
      <c r="D99" s="1" t="s">
        <v>302</v>
      </c>
      <c r="E99" s="1" t="s">
        <v>44</v>
      </c>
      <c r="F99" s="1" t="s">
        <v>321</v>
      </c>
      <c r="G99" s="1" t="s">
        <v>164</v>
      </c>
      <c r="H99" s="1" t="s">
        <v>256</v>
      </c>
      <c r="I99" s="1" t="s">
        <v>211</v>
      </c>
    </row>
    <row r="100" spans="1:9">
      <c r="A100" s="1" t="s">
        <v>132</v>
      </c>
      <c r="B100" s="1" t="s">
        <v>133</v>
      </c>
      <c r="C100" s="1" t="s">
        <v>358</v>
      </c>
      <c r="D100" s="1" t="s">
        <v>305</v>
      </c>
      <c r="E100" s="1" t="s">
        <v>13</v>
      </c>
      <c r="F100" s="1" t="s">
        <v>309</v>
      </c>
      <c r="G100" s="1" t="s">
        <v>255</v>
      </c>
      <c r="H100" s="1" t="s">
        <v>256</v>
      </c>
      <c r="I100" s="1" t="s">
        <v>357</v>
      </c>
    </row>
    <row r="101" spans="1:9">
      <c r="A101" s="1" t="s">
        <v>132</v>
      </c>
      <c r="B101" s="1" t="s">
        <v>134</v>
      </c>
      <c r="C101" s="1" t="s">
        <v>242</v>
      </c>
      <c r="D101" s="1" t="s">
        <v>305</v>
      </c>
      <c r="E101" s="1" t="s">
        <v>40</v>
      </c>
      <c r="F101" s="1" t="s">
        <v>309</v>
      </c>
      <c r="G101" s="1" t="s">
        <v>145</v>
      </c>
      <c r="H101" s="1" t="s">
        <v>256</v>
      </c>
      <c r="I101" s="1" t="s">
        <v>234</v>
      </c>
    </row>
    <row r="102" spans="1:9">
      <c r="A102" s="1" t="s">
        <v>132</v>
      </c>
      <c r="B102" s="1" t="s">
        <v>135</v>
      </c>
      <c r="C102" s="1" t="s">
        <v>243</v>
      </c>
      <c r="D102" s="1" t="s">
        <v>305</v>
      </c>
      <c r="E102" s="1" t="s">
        <v>42</v>
      </c>
      <c r="F102" s="1" t="s">
        <v>309</v>
      </c>
      <c r="G102" s="1" t="s">
        <v>145</v>
      </c>
      <c r="H102" s="1" t="s">
        <v>256</v>
      </c>
      <c r="I102" s="1" t="s">
        <v>236</v>
      </c>
    </row>
    <row r="103" spans="1:9">
      <c r="A103" s="1" t="s">
        <v>132</v>
      </c>
      <c r="B103" s="1" t="s">
        <v>136</v>
      </c>
      <c r="C103" s="1" t="s">
        <v>244</v>
      </c>
      <c r="D103" s="1" t="s">
        <v>305</v>
      </c>
      <c r="E103" s="1" t="s">
        <v>44</v>
      </c>
      <c r="F103" s="1" t="s">
        <v>309</v>
      </c>
      <c r="G103" s="1" t="s">
        <v>145</v>
      </c>
      <c r="H103" s="1" t="s">
        <v>256</v>
      </c>
      <c r="I103" s="1" t="s">
        <v>238</v>
      </c>
    </row>
    <row r="104" spans="1:9">
      <c r="A104" s="1" t="s">
        <v>132</v>
      </c>
      <c r="B104" s="1" t="s">
        <v>137</v>
      </c>
      <c r="C104" s="1" t="s">
        <v>245</v>
      </c>
      <c r="D104" s="1" t="s">
        <v>305</v>
      </c>
      <c r="E104" s="1" t="s">
        <v>40</v>
      </c>
      <c r="F104" s="1" t="s">
        <v>321</v>
      </c>
      <c r="G104" s="1" t="s">
        <v>164</v>
      </c>
      <c r="H104" s="1" t="s">
        <v>256</v>
      </c>
      <c r="I104" s="1" t="s">
        <v>211</v>
      </c>
    </row>
    <row r="105" spans="1:9">
      <c r="A105" s="1" t="s">
        <v>132</v>
      </c>
      <c r="B105" s="1" t="s">
        <v>138</v>
      </c>
      <c r="C105" s="1" t="s">
        <v>246</v>
      </c>
      <c r="D105" s="1" t="s">
        <v>305</v>
      </c>
      <c r="E105" s="1" t="s">
        <v>42</v>
      </c>
      <c r="F105" s="1" t="s">
        <v>321</v>
      </c>
      <c r="G105" s="1" t="s">
        <v>164</v>
      </c>
      <c r="H105" s="1" t="s">
        <v>256</v>
      </c>
      <c r="I105" s="1" t="s">
        <v>211</v>
      </c>
    </row>
    <row r="106" spans="1:9">
      <c r="A106" s="1" t="s">
        <v>132</v>
      </c>
      <c r="B106" s="1" t="s">
        <v>139</v>
      </c>
      <c r="C106" s="1" t="s">
        <v>247</v>
      </c>
      <c r="D106" s="1" t="s">
        <v>305</v>
      </c>
      <c r="E106" s="1" t="s">
        <v>44</v>
      </c>
      <c r="F106" s="1" t="s">
        <v>321</v>
      </c>
      <c r="G106" s="1" t="s">
        <v>164</v>
      </c>
      <c r="H106" s="1" t="s">
        <v>256</v>
      </c>
      <c r="I106" s="1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"/>
  <sheetViews>
    <sheetView tabSelected="1" workbookViewId="0">
      <selection activeCell="D6" sqref="D6"/>
    </sheetView>
  </sheetViews>
  <sheetFormatPr defaultRowHeight="14.25"/>
  <cols>
    <col min="1" max="22" width="22" customWidth="1"/>
    <col min="24" max="24" width="14" customWidth="1"/>
  </cols>
  <sheetData>
    <row r="1" spans="1:24" ht="30">
      <c r="A1" s="7" t="s">
        <v>359</v>
      </c>
      <c r="B1" s="7" t="s">
        <v>360</v>
      </c>
      <c r="C1" s="7" t="s">
        <v>361</v>
      </c>
      <c r="D1" s="7" t="s">
        <v>362</v>
      </c>
      <c r="E1" s="7" t="s">
        <v>363</v>
      </c>
      <c r="F1" s="7" t="s">
        <v>364</v>
      </c>
      <c r="G1" s="7" t="s">
        <v>365</v>
      </c>
      <c r="H1" s="7" t="s">
        <v>366</v>
      </c>
      <c r="I1" s="7" t="s">
        <v>17</v>
      </c>
      <c r="J1" s="7" t="s">
        <v>22</v>
      </c>
      <c r="K1" s="7" t="s">
        <v>367</v>
      </c>
      <c r="L1" s="7" t="s">
        <v>368</v>
      </c>
      <c r="M1" s="7" t="s">
        <v>369</v>
      </c>
      <c r="N1" s="7" t="s">
        <v>370</v>
      </c>
      <c r="O1" s="7" t="s">
        <v>371</v>
      </c>
      <c r="P1" s="7" t="s">
        <v>372</v>
      </c>
      <c r="Q1" s="7" t="s">
        <v>373</v>
      </c>
      <c r="R1" s="7" t="s">
        <v>374</v>
      </c>
      <c r="S1" s="7" t="s">
        <v>375</v>
      </c>
      <c r="T1" s="7" t="s">
        <v>376</v>
      </c>
      <c r="U1" s="7" t="s">
        <v>377</v>
      </c>
      <c r="V1" s="7" t="s">
        <v>378</v>
      </c>
      <c r="W1" s="7" t="s">
        <v>484</v>
      </c>
      <c r="X1" s="7" t="s">
        <v>58</v>
      </c>
    </row>
    <row r="2" spans="1:24">
      <c r="A2" s="1" t="s">
        <v>379</v>
      </c>
      <c r="B2" s="1" t="s">
        <v>379</v>
      </c>
      <c r="C2" s="1" t="s">
        <v>379</v>
      </c>
      <c r="D2" s="1" t="s">
        <v>379</v>
      </c>
      <c r="E2" s="1" t="s">
        <v>379</v>
      </c>
      <c r="F2" s="1" t="s">
        <v>379</v>
      </c>
      <c r="G2" s="1" t="s">
        <v>379</v>
      </c>
      <c r="H2" s="1" t="s">
        <v>380</v>
      </c>
      <c r="I2" s="1" t="s">
        <v>381</v>
      </c>
      <c r="J2" s="1" t="s">
        <v>382</v>
      </c>
      <c r="K2" s="1" t="s">
        <v>383</v>
      </c>
      <c r="L2" s="1" t="s">
        <v>384</v>
      </c>
      <c r="M2" s="1" t="s">
        <v>385</v>
      </c>
      <c r="N2" s="1" t="s">
        <v>386</v>
      </c>
      <c r="O2" s="1" t="s">
        <v>387</v>
      </c>
      <c r="P2" s="1" t="s">
        <v>388</v>
      </c>
      <c r="Q2" s="1" t="s">
        <v>389</v>
      </c>
      <c r="R2" s="1" t="s">
        <v>390</v>
      </c>
      <c r="S2" s="1" t="s">
        <v>380</v>
      </c>
      <c r="T2" s="1" t="s">
        <v>379</v>
      </c>
      <c r="U2" s="1" t="s">
        <v>379</v>
      </c>
      <c r="V2" s="1" t="s">
        <v>379</v>
      </c>
      <c r="W2" s="1" t="s">
        <v>484</v>
      </c>
      <c r="X2" s="1" t="str">
        <f>"+1"</f>
        <v>+1</v>
      </c>
    </row>
    <row r="3" spans="1:24">
      <c r="A3" s="1" t="s">
        <v>391</v>
      </c>
      <c r="B3" s="1" t="s">
        <v>392</v>
      </c>
      <c r="C3" s="1" t="s">
        <v>393</v>
      </c>
      <c r="D3" s="1" t="s">
        <v>394</v>
      </c>
      <c r="E3" s="1" t="s">
        <v>394</v>
      </c>
      <c r="F3" s="1" t="s">
        <v>394</v>
      </c>
      <c r="G3" s="1" t="s">
        <v>394</v>
      </c>
      <c r="H3" s="1" t="str" cm="1">
        <f t="array" ref="H3:H12">_xlfn.TOCOL('Draft new Build_Up'!F4:XE4,1)</f>
        <v>Requested #1</v>
      </c>
      <c r="I3" s="1" t="s">
        <v>395</v>
      </c>
      <c r="J3" s="1" t="s">
        <v>396</v>
      </c>
      <c r="K3" s="1" t="s">
        <v>397</v>
      </c>
      <c r="L3" s="1" t="s">
        <v>398</v>
      </c>
      <c r="M3" s="1" t="s">
        <v>399</v>
      </c>
      <c r="N3" s="1" t="s">
        <v>400</v>
      </c>
      <c r="O3" s="1" t="s">
        <v>401</v>
      </c>
      <c r="P3" s="1" t="s">
        <v>402</v>
      </c>
      <c r="Q3" s="1" t="s">
        <v>403</v>
      </c>
      <c r="R3" s="1" t="s">
        <v>393</v>
      </c>
      <c r="S3" s="1" t="s">
        <v>416</v>
      </c>
      <c r="T3" s="1" t="s">
        <v>394</v>
      </c>
      <c r="U3" s="1" t="s">
        <v>394</v>
      </c>
      <c r="V3" s="1" t="s">
        <v>394</v>
      </c>
      <c r="W3" s="1" t="s">
        <v>485</v>
      </c>
      <c r="X3" s="1" t="str">
        <f>"+2"</f>
        <v>+2</v>
      </c>
    </row>
    <row r="4" spans="1:24">
      <c r="A4" s="1" t="s">
        <v>404</v>
      </c>
      <c r="B4" s="1" t="s">
        <v>74</v>
      </c>
      <c r="C4" s="1" t="s">
        <v>405</v>
      </c>
      <c r="D4" s="1" t="s">
        <v>406</v>
      </c>
      <c r="E4" s="1" t="s">
        <v>406</v>
      </c>
      <c r="F4" s="1" t="s">
        <v>406</v>
      </c>
      <c r="G4" s="1" t="s">
        <v>406</v>
      </c>
      <c r="H4" s="1" t="str">
        <v>Requested #2</v>
      </c>
      <c r="I4" s="1" t="s">
        <v>407</v>
      </c>
      <c r="J4" s="1" t="s">
        <v>408</v>
      </c>
      <c r="K4" s="1" t="s">
        <v>409</v>
      </c>
      <c r="L4" s="1" t="s">
        <v>410</v>
      </c>
      <c r="M4" s="1" t="s">
        <v>411</v>
      </c>
      <c r="N4" s="1" t="s">
        <v>412</v>
      </c>
      <c r="O4" s="1"/>
      <c r="P4" s="1" t="s">
        <v>413</v>
      </c>
      <c r="Q4" s="1" t="s">
        <v>414</v>
      </c>
      <c r="R4" s="1" t="s">
        <v>415</v>
      </c>
      <c r="S4" s="1" t="s">
        <v>394</v>
      </c>
      <c r="T4" s="1" t="s">
        <v>406</v>
      </c>
      <c r="U4" s="1" t="s">
        <v>406</v>
      </c>
      <c r="V4" s="1" t="s">
        <v>406</v>
      </c>
      <c r="X4" s="1" t="str">
        <f>"+3"</f>
        <v>+3</v>
      </c>
    </row>
    <row r="5" spans="1:24">
      <c r="A5" s="1" t="s">
        <v>417</v>
      </c>
      <c r="B5" s="1"/>
      <c r="C5" s="1" t="s">
        <v>418</v>
      </c>
      <c r="D5" s="1" t="s">
        <v>419</v>
      </c>
      <c r="E5" s="1" t="s">
        <v>420</v>
      </c>
      <c r="F5" s="1" t="s">
        <v>421</v>
      </c>
      <c r="G5" s="1" t="s">
        <v>421</v>
      </c>
      <c r="H5" s="1" t="str">
        <v>Requested #3</v>
      </c>
      <c r="I5" s="1"/>
      <c r="J5" s="1" t="s">
        <v>422</v>
      </c>
      <c r="K5" s="1" t="s">
        <v>423</v>
      </c>
      <c r="L5" s="1" t="s">
        <v>424</v>
      </c>
      <c r="M5" s="1" t="s">
        <v>425</v>
      </c>
      <c r="N5" s="1" t="s">
        <v>426</v>
      </c>
      <c r="O5" s="1"/>
      <c r="P5" s="1"/>
      <c r="Q5" s="1"/>
      <c r="R5" s="1" t="s">
        <v>418</v>
      </c>
      <c r="S5" s="1" t="s">
        <v>406</v>
      </c>
      <c r="T5" s="1" t="s">
        <v>420</v>
      </c>
      <c r="U5" s="1" t="s">
        <v>421</v>
      </c>
      <c r="V5" s="1" t="s">
        <v>421</v>
      </c>
      <c r="X5" s="1" t="str">
        <f>"+4"</f>
        <v>+4</v>
      </c>
    </row>
    <row r="6" spans="1:24">
      <c r="A6" s="1" t="s">
        <v>427</v>
      </c>
      <c r="B6" s="1"/>
      <c r="C6" s="1" t="s">
        <v>428</v>
      </c>
      <c r="D6" s="1" t="s">
        <v>421</v>
      </c>
      <c r="E6" s="1" t="s">
        <v>421</v>
      </c>
      <c r="F6" s="1"/>
      <c r="G6" s="1"/>
      <c r="H6" s="1" t="str">
        <v>Requested #4</v>
      </c>
      <c r="I6" s="1"/>
      <c r="J6" s="1"/>
      <c r="K6" s="1" t="s">
        <v>429</v>
      </c>
      <c r="L6" s="1"/>
      <c r="M6" s="1" t="s">
        <v>430</v>
      </c>
      <c r="N6" s="1" t="s">
        <v>431</v>
      </c>
      <c r="O6" s="1"/>
      <c r="P6" s="1"/>
      <c r="Q6" s="1"/>
      <c r="R6" s="1" t="s">
        <v>428</v>
      </c>
      <c r="S6" s="1" t="s">
        <v>419</v>
      </c>
      <c r="T6" s="1" t="s">
        <v>421</v>
      </c>
      <c r="U6" s="1"/>
      <c r="V6" s="1"/>
      <c r="X6" s="1" t="str">
        <f>"+5"</f>
        <v>+5</v>
      </c>
    </row>
    <row r="7" spans="1:24">
      <c r="A7" s="1" t="s">
        <v>432</v>
      </c>
      <c r="B7" s="1"/>
      <c r="C7" s="1"/>
      <c r="D7" s="1"/>
      <c r="E7" s="1"/>
      <c r="F7" s="1"/>
      <c r="G7" s="1"/>
      <c r="H7" s="1" t="str">
        <v>Requested #5</v>
      </c>
      <c r="I7" s="1"/>
      <c r="J7" s="1"/>
      <c r="K7" s="1" t="s">
        <v>486</v>
      </c>
      <c r="L7" s="1"/>
      <c r="M7" s="1" t="s">
        <v>433</v>
      </c>
      <c r="N7" s="1" t="s">
        <v>487</v>
      </c>
      <c r="O7" s="1"/>
      <c r="P7" s="1"/>
      <c r="Q7" s="1"/>
      <c r="R7" s="1"/>
      <c r="T7" s="1"/>
      <c r="U7" s="1"/>
      <c r="V7" s="1"/>
      <c r="X7" s="1" t="str">
        <f>"-1"</f>
        <v>-1</v>
      </c>
    </row>
    <row r="8" spans="1:24">
      <c r="A8" s="1" t="s">
        <v>434</v>
      </c>
      <c r="B8" s="1"/>
      <c r="C8" s="1"/>
      <c r="D8" s="1"/>
      <c r="E8" s="1"/>
      <c r="F8" s="1"/>
      <c r="G8" s="1"/>
      <c r="H8" s="1" t="str">
        <v>Requested #6</v>
      </c>
      <c r="I8" s="1"/>
      <c r="J8" s="1"/>
      <c r="K8" s="1"/>
      <c r="L8" s="1"/>
      <c r="M8" s="1" t="s">
        <v>435</v>
      </c>
      <c r="N8" s="1" t="s">
        <v>436</v>
      </c>
      <c r="O8" s="1"/>
      <c r="P8" s="1"/>
      <c r="Q8" s="1"/>
      <c r="R8" s="1"/>
      <c r="S8" s="1"/>
      <c r="T8" s="1"/>
      <c r="U8" s="1"/>
      <c r="V8" s="1"/>
      <c r="X8" s="1" t="str">
        <f>"-2"</f>
        <v>-2</v>
      </c>
    </row>
    <row r="9" spans="1:24">
      <c r="A9" s="1" t="s">
        <v>437</v>
      </c>
      <c r="B9" s="1"/>
      <c r="C9" s="1"/>
      <c r="D9" s="1"/>
      <c r="E9" s="1"/>
      <c r="F9" s="1"/>
      <c r="G9" s="1"/>
      <c r="H9" s="1" t="str">
        <v>Requested #7</v>
      </c>
      <c r="I9" s="1"/>
      <c r="J9" s="1"/>
      <c r="K9" s="1"/>
      <c r="L9" s="1"/>
      <c r="M9" s="1" t="s">
        <v>438</v>
      </c>
      <c r="N9" s="1" t="s">
        <v>439</v>
      </c>
      <c r="O9" s="1"/>
      <c r="P9" s="1"/>
      <c r="Q9" s="1"/>
      <c r="R9" s="1"/>
      <c r="S9" s="1"/>
      <c r="T9" s="1"/>
      <c r="U9" s="1"/>
      <c r="V9" s="1"/>
      <c r="X9" s="1" t="str">
        <f>"-3"</f>
        <v>-3</v>
      </c>
    </row>
    <row r="10" spans="1:24">
      <c r="A10" s="1"/>
      <c r="B10" s="1"/>
      <c r="C10" s="1"/>
      <c r="D10" s="1"/>
      <c r="E10" s="1"/>
      <c r="F10" s="1"/>
      <c r="G10" s="1"/>
      <c r="H10" s="1" t="str">
        <v>Requested #8</v>
      </c>
      <c r="I10" s="1"/>
      <c r="J10" s="1"/>
      <c r="K10" s="1"/>
      <c r="L10" s="1"/>
      <c r="M10" s="1"/>
      <c r="N10" s="1" t="s">
        <v>440</v>
      </c>
      <c r="O10" s="1"/>
      <c r="P10" s="1"/>
      <c r="Q10" s="1"/>
      <c r="R10" s="1"/>
      <c r="S10" s="1"/>
      <c r="T10" s="1"/>
      <c r="U10" s="1"/>
      <c r="V10" s="1"/>
      <c r="X10" s="1" t="str">
        <f>"-4"</f>
        <v>-4</v>
      </c>
    </row>
    <row r="11" spans="1:24">
      <c r="H11" t="str">
        <v>Requested #9</v>
      </c>
      <c r="N11" s="1" t="s">
        <v>489</v>
      </c>
      <c r="X11" s="1" t="str">
        <f>"-5"</f>
        <v>-5</v>
      </c>
    </row>
    <row r="12" spans="1:24">
      <c r="H12" t="str">
        <v>Requested #10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25"/>
  <cols>
    <col min="1" max="1" width="24" customWidth="1"/>
    <col min="2" max="2" width="96" customWidth="1"/>
  </cols>
  <sheetData>
    <row r="1" spans="1:2" ht="15">
      <c r="A1" s="9" t="s">
        <v>441</v>
      </c>
      <c r="B1" s="9" t="s">
        <v>442</v>
      </c>
    </row>
    <row r="2" spans="1:2">
      <c r="A2" s="1" t="s">
        <v>443</v>
      </c>
      <c r="B2" s="1" t="s">
        <v>444</v>
      </c>
    </row>
    <row r="3" spans="1:2" ht="28.5">
      <c r="A3" s="1" t="s">
        <v>445</v>
      </c>
      <c r="B3" s="1" t="s">
        <v>446</v>
      </c>
    </row>
    <row r="4" spans="1:2">
      <c r="A4" s="1" t="s">
        <v>447</v>
      </c>
      <c r="B4" s="1" t="s">
        <v>448</v>
      </c>
    </row>
    <row r="5" spans="1:2">
      <c r="A5" s="1" t="s">
        <v>449</v>
      </c>
      <c r="B5" s="1" t="s">
        <v>450</v>
      </c>
    </row>
    <row r="6" spans="1:2">
      <c r="A6" s="1" t="s">
        <v>451</v>
      </c>
      <c r="B6" s="1" t="s">
        <v>452</v>
      </c>
    </row>
    <row r="7" spans="1:2">
      <c r="A7" s="1" t="s">
        <v>6</v>
      </c>
      <c r="B7" s="1" t="s">
        <v>453</v>
      </c>
    </row>
    <row r="8" spans="1:2">
      <c r="A8" s="1" t="s">
        <v>454</v>
      </c>
      <c r="B8" s="1" t="s">
        <v>455</v>
      </c>
    </row>
    <row r="9" spans="1:2">
      <c r="A9" s="1" t="s">
        <v>456</v>
      </c>
      <c r="B9" s="1" t="s">
        <v>457</v>
      </c>
    </row>
    <row r="10" spans="1:2">
      <c r="A10" s="1" t="s">
        <v>458</v>
      </c>
      <c r="B10" s="1" t="s">
        <v>459</v>
      </c>
    </row>
    <row r="11" spans="1:2">
      <c r="A11" s="1" t="s">
        <v>28</v>
      </c>
      <c r="B11" s="1" t="s">
        <v>460</v>
      </c>
    </row>
    <row r="12" spans="1:2">
      <c r="A12" s="1" t="s">
        <v>461</v>
      </c>
      <c r="B12" s="1" t="s">
        <v>462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Draft new Build_Up</vt:lpstr>
      <vt:lpstr>REQUEST</vt:lpstr>
      <vt:lpstr>FIELD_MAP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Henrique Ferreira Rocha</dc:creator>
  <cp:lastModifiedBy>CAIO HENRIQUE FERREIRA ROCHA (EXTERNAL)</cp:lastModifiedBy>
  <dcterms:created xsi:type="dcterms:W3CDTF">2026-07-10T18:59:32Z</dcterms:created>
  <dcterms:modified xsi:type="dcterms:W3CDTF">2026-07-10T19:27:03Z</dcterms:modified>
</cp:coreProperties>
</file>