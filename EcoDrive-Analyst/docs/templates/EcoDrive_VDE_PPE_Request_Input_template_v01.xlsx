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ioHenriqueFerreira\Downloads\From Git\projects\EcoDrive-Analyst\docs\templates\"/>
    </mc:Choice>
  </mc:AlternateContent>
  <xr:revisionPtr revIDLastSave="0" documentId="13_ncr:1_{37B8C84C-0B2C-4F0A-BB74-138256A86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ST" sheetId="1" r:id="rId1"/>
    <sheet name="FIELD_MAP" sheetId="2" r:id="rId2"/>
    <sheet name="LISTS" sheetId="3" r:id="rId3"/>
    <sheet name="RU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0" i="1" l="1"/>
  <c r="O90" i="1"/>
  <c r="N90" i="1"/>
  <c r="M90" i="1"/>
  <c r="L90" i="1"/>
  <c r="K90" i="1"/>
  <c r="J90" i="1"/>
  <c r="I90" i="1"/>
  <c r="H90" i="1"/>
  <c r="G90" i="1"/>
  <c r="P84" i="1"/>
  <c r="O84" i="1"/>
  <c r="N84" i="1"/>
  <c r="M84" i="1"/>
  <c r="L84" i="1"/>
  <c r="K84" i="1"/>
  <c r="J84" i="1"/>
  <c r="I84" i="1"/>
  <c r="H84" i="1"/>
  <c r="G84" i="1"/>
  <c r="P77" i="1"/>
  <c r="O77" i="1"/>
  <c r="N77" i="1"/>
  <c r="M77" i="1"/>
  <c r="L77" i="1"/>
  <c r="K77" i="1"/>
  <c r="J77" i="1"/>
  <c r="I77" i="1"/>
  <c r="H77" i="1"/>
  <c r="G77" i="1"/>
  <c r="P69" i="1"/>
  <c r="O69" i="1"/>
  <c r="N69" i="1"/>
  <c r="M69" i="1"/>
  <c r="L69" i="1"/>
  <c r="K69" i="1"/>
  <c r="J69" i="1"/>
  <c r="I69" i="1"/>
  <c r="H69" i="1"/>
  <c r="G69" i="1"/>
  <c r="P57" i="1"/>
  <c r="O57" i="1"/>
  <c r="N57" i="1"/>
  <c r="M57" i="1"/>
  <c r="L57" i="1"/>
  <c r="K57" i="1"/>
  <c r="J57" i="1"/>
  <c r="I57" i="1"/>
  <c r="H57" i="1"/>
  <c r="G57" i="1"/>
  <c r="P53" i="1"/>
  <c r="O53" i="1"/>
  <c r="N53" i="1"/>
  <c r="M53" i="1"/>
  <c r="L53" i="1"/>
  <c r="K53" i="1"/>
  <c r="J53" i="1"/>
  <c r="I53" i="1"/>
  <c r="H53" i="1"/>
  <c r="G53" i="1"/>
  <c r="P34" i="1"/>
  <c r="H3" i="3" a="1"/>
  <c r="H3" i="3" s="1"/>
  <c r="F69" i="1"/>
  <c r="F77" i="1"/>
  <c r="F84" i="1"/>
  <c r="F90" i="1"/>
  <c r="F57" i="1"/>
  <c r="F53" i="1"/>
  <c r="O34" i="1"/>
  <c r="N34" i="1"/>
  <c r="M34" i="1"/>
  <c r="L34" i="1"/>
  <c r="K34" i="1"/>
  <c r="J34" i="1"/>
  <c r="I34" i="1"/>
  <c r="H34" i="1"/>
  <c r="G34" i="1"/>
  <c r="F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<sst xmlns="http://schemas.openxmlformats.org/spreadsheetml/2006/main" count="1170" uniqueCount="464">
  <si>
    <t>EcoDrive VDE PPE Request Input — FINAL v0.1</t>
  </si>
  <si>
    <t>Rules corner</t>
  </si>
  <si>
    <t>Behavior</t>
  </si>
  <si>
    <t>Baseline / Printed is populated from DB/UI; Baseline Correction is optional. Proposal Matrix routes the parser. Blank = inherit/no request; 0 = explicit zero.</t>
  </si>
  <si>
    <t>Baseline / Printed</t>
  </si>
  <si>
    <t>DB/UI print. Do not manually edit source values.</t>
  </si>
  <si>
    <t>Baseline Correction</t>
  </si>
  <si>
    <t>Manual request reference override. Effective baseline = correction if filled, else printed.</t>
  </si>
  <si>
    <t>Section</t>
  </si>
  <si>
    <t>Field / Parameter</t>
  </si>
  <si>
    <t>Unit</t>
  </si>
  <si>
    <t>Requested #1</t>
  </si>
  <si>
    <t>Requested #2</t>
  </si>
  <si>
    <t>Requested #3</t>
  </si>
  <si>
    <t>Requested #4</t>
  </si>
  <si>
    <t>Requested #5</t>
  </si>
  <si>
    <t>Requested #6</t>
  </si>
  <si>
    <t>Requested #7</t>
  </si>
  <si>
    <t>Requested #8</t>
  </si>
  <si>
    <t>Requested #9</t>
  </si>
  <si>
    <t>Requested #10</t>
  </si>
  <si>
    <t>Proposal Matrix</t>
  </si>
  <si>
    <t>Select list by domain. It decides whether A/B/C is absolute, delta, DB lookup, etc.</t>
  </si>
  <si>
    <t>Scenario / Context</t>
  </si>
  <si>
    <t>Blank requested cell</t>
  </si>
  <si>
    <t>Inherit/no request.</t>
  </si>
  <si>
    <t>Name / Description</t>
  </si>
  <si>
    <t>-</t>
  </si>
  <si>
    <t>Numeric 0</t>
  </si>
  <si>
    <t>Explicit request, not blank.</t>
  </si>
  <si>
    <t>VDE ID</t>
  </si>
  <si>
    <t>Component registration</t>
  </si>
  <si>
    <t>For a new component, choose the relevant proposal type/source and fill DB ID or manual A/B/C/RRC.</t>
  </si>
  <si>
    <t>Walk From</t>
  </si>
  <si>
    <t>Tire</t>
  </si>
  <si>
    <t>Use Tire DB ID/code when possible; RRC/SMERF/pressure are compact inputs or DB details.</t>
  </si>
  <si>
    <t>Legislation</t>
  </si>
  <si>
    <t>Brake advanced details</t>
  </si>
  <si>
    <t>Split torque/radius/release/temp/caliper/pad details belong in Brake DB, not this main request.</t>
  </si>
  <si>
    <t>Category</t>
  </si>
  <si>
    <t>Missing baseline</t>
  </si>
  <si>
    <t>Displayed blank. For request delta preview only, missing baseline is treated as 0 and status is Review.</t>
  </si>
  <si>
    <t>Make</t>
  </si>
  <si>
    <t>Model</t>
  </si>
  <si>
    <t>Model Year</t>
  </si>
  <si>
    <t>Electrification</t>
  </si>
  <si>
    <t>Transmission Type</t>
  </si>
  <si>
    <t>Drive Type</t>
  </si>
  <si>
    <t>Fuel Type</t>
  </si>
  <si>
    <t>Cycle Name</t>
  </si>
  <si>
    <t>Cycle Source</t>
  </si>
  <si>
    <t>Mass proposal type</t>
  </si>
  <si>
    <t>Reference</t>
  </si>
  <si>
    <t>Aero proposal type</t>
  </si>
  <si>
    <t>Tire proposal type</t>
  </si>
  <si>
    <t>Transmission proposal type</t>
  </si>
  <si>
    <t>Brake proposal type</t>
  </si>
  <si>
    <t>Axle &amp; Hubs proposal type</t>
  </si>
  <si>
    <t>Parasitic Losses proposal type</t>
  </si>
  <si>
    <t>ABC_TOTAL</t>
  </si>
  <si>
    <t>ABC_TOTAL Basis</t>
  </si>
  <si>
    <t>ABC_TOTAL A</t>
  </si>
  <si>
    <t>N</t>
  </si>
  <si>
    <t>ABC_TOTAL B</t>
  </si>
  <si>
    <t>N/kph</t>
  </si>
  <si>
    <t>ABC_TOTAL C</t>
  </si>
  <si>
    <t>N/kph²</t>
  </si>
  <si>
    <t>ABC_TOTAL Source</t>
  </si>
  <si>
    <t>Mass</t>
  </si>
  <si>
    <t>Curb / Base Mass</t>
  </si>
  <si>
    <t>kg</t>
  </si>
  <si>
    <t>EPA Inertia / TWC Mass</t>
  </si>
  <si>
    <t>Test Mass Basis</t>
  </si>
  <si>
    <t>Test Mass</t>
  </si>
  <si>
    <t>Payload</t>
  </si>
  <si>
    <t>Front Weight Distribution</t>
  </si>
  <si>
    <t>%</t>
  </si>
  <si>
    <t>WLTP Category</t>
  </si>
  <si>
    <t>Tire Load Mass Basis</t>
  </si>
  <si>
    <t>TWC Class Offset</t>
  </si>
  <si>
    <t>TWC Target Point</t>
  </si>
  <si>
    <t>Trailer / GCWR</t>
  </si>
  <si>
    <t>Trailer Code</t>
  </si>
  <si>
    <t>Trailer DB ID</t>
  </si>
  <si>
    <t>Mass Profile GCWR</t>
  </si>
  <si>
    <t>Mass Profile Trailer Mass</t>
  </si>
  <si>
    <t>Trailer A</t>
  </si>
  <si>
    <t>Trailer B</t>
  </si>
  <si>
    <t>Trailer C</t>
  </si>
  <si>
    <t>Aero</t>
  </si>
  <si>
    <t>CdA</t>
  </si>
  <si>
    <t>m²</t>
  </si>
  <si>
    <t>Frontal Area</t>
  </si>
  <si>
    <t>CdA Source</t>
  </si>
  <si>
    <t>Tire Code</t>
  </si>
  <si>
    <t>Tire DB ID</t>
  </si>
  <si>
    <t>Tire Size</t>
  </si>
  <si>
    <t>Front Pressure</t>
  </si>
  <si>
    <t>psi</t>
  </si>
  <si>
    <t>Rear Pressure</t>
  </si>
  <si>
    <t>Hot Front Pressure</t>
  </si>
  <si>
    <t>Hot Rear Pressure</t>
  </si>
  <si>
    <t>RRC</t>
  </si>
  <si>
    <t>N/kN</t>
  </si>
  <si>
    <t>SMERF</t>
  </si>
  <si>
    <t>Tire Improvement</t>
  </si>
  <si>
    <t>Tire Notes</t>
  </si>
  <si>
    <t>Transmission</t>
  </si>
  <si>
    <t>Transmission ID Component DB</t>
  </si>
  <si>
    <t>VDE DB ID (Use Vehicle Ref.)</t>
  </si>
  <si>
    <t>Transmission A</t>
  </si>
  <si>
    <t>Transmission B</t>
  </si>
  <si>
    <t>Transmission C</t>
  </si>
  <si>
    <t>Transmission Loss</t>
  </si>
  <si>
    <t>Percent Basis</t>
  </si>
  <si>
    <t>Brake</t>
  </si>
  <si>
    <t>Brake ID Component DB</t>
  </si>
  <si>
    <t>Brake A</t>
  </si>
  <si>
    <t>Brake B</t>
  </si>
  <si>
    <t>Brake C</t>
  </si>
  <si>
    <t>Residual Torque</t>
  </si>
  <si>
    <t>Nm</t>
  </si>
  <si>
    <t>Axle &amp; Hubs</t>
  </si>
  <si>
    <t>Axle &amp; Hubs ID Component DB</t>
  </si>
  <si>
    <t>Axle &amp; Hubs A</t>
  </si>
  <si>
    <t>Axle &amp; Hubs B</t>
  </si>
  <si>
    <t>Axle &amp; Hubs C</t>
  </si>
  <si>
    <t>Parasitic Losses</t>
  </si>
  <si>
    <t>Parasitic ID Component DB</t>
  </si>
  <si>
    <t>Parasitic A</t>
  </si>
  <si>
    <t>Parasitic B</t>
  </si>
  <si>
    <t>Parasitic C</t>
  </si>
  <si>
    <t>section</t>
  </si>
  <si>
    <t>field_label</t>
  </si>
  <si>
    <t>field_key</t>
  </si>
  <si>
    <t>unit</t>
  </si>
  <si>
    <t>domain</t>
  </si>
  <si>
    <t>role</t>
  </si>
  <si>
    <t>compact_or_advanced</t>
  </si>
  <si>
    <t>validation_list</t>
  </si>
  <si>
    <t>notes</t>
  </si>
  <si>
    <t>scenario</t>
  </si>
  <si>
    <t>metadata</t>
  </si>
  <si>
    <t>compact</t>
  </si>
  <si>
    <t>Proposal/config description</t>
  </si>
  <si>
    <t>selected_baseline_vde_id</t>
  </si>
  <si>
    <t>Existing VDE reference if any</t>
  </si>
  <si>
    <t>walk_from</t>
  </si>
  <si>
    <t>routing</t>
  </si>
  <si>
    <t>WalkFrom</t>
  </si>
  <si>
    <t>Reference chain for Requested column</t>
  </si>
  <si>
    <t>legislation</t>
  </si>
  <si>
    <t>EPA / WLTP / ABNT</t>
  </si>
  <si>
    <t>category</t>
  </si>
  <si>
    <t>Vehicle class/category</t>
  </si>
  <si>
    <t>make</t>
  </si>
  <si>
    <t>Manufacturer</t>
  </si>
  <si>
    <t>model</t>
  </si>
  <si>
    <t>Model / vehicle description</t>
  </si>
  <si>
    <t>year</t>
  </si>
  <si>
    <t>Model year</t>
  </si>
  <si>
    <t>electrification</t>
  </si>
  <si>
    <t>Powertrain electrification</t>
  </si>
  <si>
    <t>transmission_type</t>
  </si>
  <si>
    <t>TransmissionType</t>
  </si>
  <si>
    <t>Transmission type</t>
  </si>
  <si>
    <t>drive_type</t>
  </si>
  <si>
    <t>DriveType</t>
  </si>
  <si>
    <t>FWD/RWD/AWD/4WD</t>
  </si>
  <si>
    <t>fuel_type</t>
  </si>
  <si>
    <t>FuelType</t>
  </si>
  <si>
    <t>Fuel/energy type</t>
  </si>
  <si>
    <t>cycle_name</t>
  </si>
  <si>
    <t>Drive cycle name</t>
  </si>
  <si>
    <t>cycle_source</t>
  </si>
  <si>
    <t>standard/uploaded/imported</t>
  </si>
  <si>
    <t>mass_proposal_type</t>
  </si>
  <si>
    <t>mass</t>
  </si>
  <si>
    <t>proposal_type</t>
  </si>
  <si>
    <t>MassProposalTypes</t>
  </si>
  <si>
    <t>Routes Mass block interpretation</t>
  </si>
  <si>
    <t>aero_proposal_type</t>
  </si>
  <si>
    <t>aero</t>
  </si>
  <si>
    <t>AeroProposalTypes</t>
  </si>
  <si>
    <t>Routes Aero block interpretation</t>
  </si>
  <si>
    <t>tire_proposal_type</t>
  </si>
  <si>
    <t>tire</t>
  </si>
  <si>
    <t>TireProposalTypes</t>
  </si>
  <si>
    <t>Routes Tire block interpretation</t>
  </si>
  <si>
    <t>transmission_proposal_type</t>
  </si>
  <si>
    <t>transmission</t>
  </si>
  <si>
    <t>TransmissionProposalTypes</t>
  </si>
  <si>
    <t>Routes Transmission block interpretation</t>
  </si>
  <si>
    <t>brake_proposal_type</t>
  </si>
  <si>
    <t>brake</t>
  </si>
  <si>
    <t>BrakeProposalTypes</t>
  </si>
  <si>
    <t>Routes Brake block interpretation</t>
  </si>
  <si>
    <t>axle_hubs_proposal_type</t>
  </si>
  <si>
    <t>axle_hubs</t>
  </si>
  <si>
    <t>AxleHubProposalTypes</t>
  </si>
  <si>
    <t>Routes Axle &amp; Hubs block interpretation</t>
  </si>
  <si>
    <t>parasitic_proposal_type</t>
  </si>
  <si>
    <t>parasitic</t>
  </si>
  <si>
    <t>ParasiticProposalTypes</t>
  </si>
  <si>
    <t>Routes Parasitic block interpretation</t>
  </si>
  <si>
    <t>abc_total_basis</t>
  </si>
  <si>
    <t>roadload</t>
  </si>
  <si>
    <t>ABCTotalBasis</t>
  </si>
  <si>
    <t>Baseline/test/component-build-up</t>
  </si>
  <si>
    <t>A</t>
  </si>
  <si>
    <t>numeric</t>
  </si>
  <si>
    <t>Total roadload A term</t>
  </si>
  <si>
    <t>B</t>
  </si>
  <si>
    <t>Total roadload B term</t>
  </si>
  <si>
    <t>C</t>
  </si>
  <si>
    <t>Total roadload C term</t>
  </si>
  <si>
    <t>abc_total_source_ui</t>
  </si>
  <si>
    <t>ABCTotalSource</t>
  </si>
  <si>
    <t>Source/provenance</t>
  </si>
  <si>
    <t>mass_kg</t>
  </si>
  <si>
    <t>Base/curb mass reference</t>
  </si>
  <si>
    <t>inertia_class</t>
  </si>
  <si>
    <t>EPA inertia/TWC mass when applicable</t>
  </si>
  <si>
    <t>test_mass_basis</t>
  </si>
  <si>
    <t>TestMassBasis</t>
  </si>
  <si>
    <t>Resolver basis for test mass</t>
  </si>
  <si>
    <t>test_mass_kg</t>
  </si>
  <si>
    <t>Manual/resolved test mass when applicable</t>
  </si>
  <si>
    <t>payload_kg</t>
  </si>
  <si>
    <t>Payload/load input</t>
  </si>
  <si>
    <t>weight_dist_fr_pct</t>
  </si>
  <si>
    <t>Front weight distribution</t>
  </si>
  <si>
    <t>wltp_category</t>
  </si>
  <si>
    <t>WLTP category when applicable</t>
  </si>
  <si>
    <t>tire_load_mass_basis</t>
  </si>
  <si>
    <t>TireLoadMassBasis</t>
  </si>
  <si>
    <t>TEST_MASS or TWC</t>
  </si>
  <si>
    <t>mass_delta_class_offset</t>
  </si>
  <si>
    <t>support</t>
  </si>
  <si>
    <t>TWCClassOffset</t>
  </si>
  <si>
    <t>Used only for TWC shift</t>
  </si>
  <si>
    <t>mass_delta_class_point</t>
  </si>
  <si>
    <t>TWCPoint</t>
  </si>
  <si>
    <t>Low/Mid/Top within class</t>
  </si>
  <si>
    <t>trailer_code</t>
  </si>
  <si>
    <t>trailer</t>
  </si>
  <si>
    <t>Trailer preset/code or MANUAL</t>
  </si>
  <si>
    <t>trailer_db_id</t>
  </si>
  <si>
    <t>db_reference</t>
  </si>
  <si>
    <t>Optional trailer/component DB reference</t>
  </si>
  <si>
    <t>mass_profile_gcwr_kg</t>
  </si>
  <si>
    <t>Gross combined mass support input</t>
  </si>
  <si>
    <t>mass_profile_trailer_mass_kg</t>
  </si>
  <si>
    <t>Trailer mass support input</t>
  </si>
  <si>
    <t>trailer_A</t>
  </si>
  <si>
    <t>Trailer roadload A when manual</t>
  </si>
  <si>
    <t>trailer_B</t>
  </si>
  <si>
    <t>Trailer roadload B when manual</t>
  </si>
  <si>
    <t>trailer_C</t>
  </si>
  <si>
    <t>Trailer roadload C when manual</t>
  </si>
  <si>
    <t>cda_m2</t>
  </si>
  <si>
    <t>Absolute CdA or reference according to proposal type</t>
  </si>
  <si>
    <t>frontal_area_m2</t>
  </si>
  <si>
    <t>advanced</t>
  </si>
  <si>
    <t>Optional area support/provenance</t>
  </si>
  <si>
    <t>cda_source</t>
  </si>
  <si>
    <t>tire_code</t>
  </si>
  <si>
    <t>Selling/test code or Tire DB code</t>
  </si>
  <si>
    <t>tire_db_id</t>
  </si>
  <si>
    <t>Optional Tire DB reference</t>
  </si>
  <si>
    <t>tire_size</t>
  </si>
  <si>
    <t>Tire size code</t>
  </si>
  <si>
    <t>front_pressure_psi</t>
  </si>
  <si>
    <t>Front tire pressure</t>
  </si>
  <si>
    <t>rear_pressure_psi</t>
  </si>
  <si>
    <t>Rear tire pressure</t>
  </si>
  <si>
    <t>hot_front_pressure_psi</t>
  </si>
  <si>
    <t>Advanced provenance; may live in Tire DB</t>
  </si>
  <si>
    <t>hot_rear_pressure_psi</t>
  </si>
  <si>
    <t>rrc_N_per_kN</t>
  </si>
  <si>
    <t>Rolling resistance target/reference</t>
  </si>
  <si>
    <t>smerf</t>
  </si>
  <si>
    <t>Advanced tire provenance</t>
  </si>
  <si>
    <t>tire_improvement_pct</t>
  </si>
  <si>
    <t>Improvement percentage</t>
  </si>
  <si>
    <t>tire_notes</t>
  </si>
  <si>
    <t>Provenance/notes</t>
  </si>
  <si>
    <t>transmission_component_db_id</t>
  </si>
  <si>
    <t>Existing/New component reference</t>
  </si>
  <si>
    <t>transmission_vde_db_id</t>
  </si>
  <si>
    <t>Optional VDE/vehicle reference</t>
  </si>
  <si>
    <t>trans_A_coef_N</t>
  </si>
  <si>
    <t>A term; absolute or delta according to proposal type</t>
  </si>
  <si>
    <t>trans_B_coef_Npkph</t>
  </si>
  <si>
    <t>B term; absolute or delta according to proposal type</t>
  </si>
  <si>
    <t>trans_C_coef_Npkph2</t>
  </si>
  <si>
    <t>C term; absolute or delta according to proposal type</t>
  </si>
  <si>
    <t>transmission_loss_pct</t>
  </si>
  <si>
    <t>Percent loss proposal</t>
  </si>
  <si>
    <t>transmission_percent_basis</t>
  </si>
  <si>
    <t>PercentBasis</t>
  </si>
  <si>
    <t>Percent basis when % proposal</t>
  </si>
  <si>
    <t>brake_component_db_id</t>
  </si>
  <si>
    <t>brake_vde_db_id</t>
  </si>
  <si>
    <t>brake_A_coef_N</t>
  </si>
  <si>
    <t>brake_B_Npkph</t>
  </si>
  <si>
    <t>brake_C_coef_Npkph2</t>
  </si>
  <si>
    <t>residual_torque_total_Nm</t>
  </si>
  <si>
    <t>Compact residual torque input; detailed split belongs in Brake DB</t>
  </si>
  <si>
    <t>axle_hubs_component_db_id</t>
  </si>
  <si>
    <t>axle_hubs_vde_db_id</t>
  </si>
  <si>
    <t>axle_hub_A</t>
  </si>
  <si>
    <t>axle_hub_B</t>
  </si>
  <si>
    <t>axle_hub_C</t>
  </si>
  <si>
    <t>parasitic_component_db_id</t>
  </si>
  <si>
    <t>parasitic_vde_db_id</t>
  </si>
  <si>
    <t>parasitic_A_coef_N</t>
  </si>
  <si>
    <t>parasitic_B_Npkph</t>
  </si>
  <si>
    <t>parasitic_C_coef_Npkph2</t>
  </si>
  <si>
    <t>ComponentSource</t>
  </si>
  <si>
    <t>TireCodeMode</t>
  </si>
  <si>
    <t>UnitNone</t>
  </si>
  <si>
    <t>UnitForce</t>
  </si>
  <si>
    <t>UnitForcePerSpeed</t>
  </si>
  <si>
    <t>UnitForcePerSpeed2</t>
  </si>
  <si>
    <t>UnitMass</t>
  </si>
  <si>
    <t>UnitArea</t>
  </si>
  <si>
    <t>UnitPressure</t>
  </si>
  <si>
    <t>UnitRRC</t>
  </si>
  <si>
    <t>UnitTorque</t>
  </si>
  <si>
    <t>UnitLength</t>
  </si>
  <si>
    <t>UnitPercent</t>
  </si>
  <si>
    <t>UnitTemperature</t>
  </si>
  <si>
    <t>UnitPressureAmbient</t>
  </si>
  <si>
    <t>Inherit</t>
  </si>
  <si>
    <t>Baseline</t>
  </si>
  <si>
    <t>EPA</t>
  </si>
  <si>
    <t>ICE</t>
  </si>
  <si>
    <t>AT</t>
  </si>
  <si>
    <t>FWD</t>
  </si>
  <si>
    <t>GASOLINE</t>
  </si>
  <si>
    <t>EPA_INERTIA_CLASS</t>
  </si>
  <si>
    <t>TEST_MASS</t>
  </si>
  <si>
    <t>Low</t>
  </si>
  <si>
    <t>-5</t>
  </si>
  <si>
    <t>Baseline ABC</t>
  </si>
  <si>
    <t>relative_to_baseline</t>
  </si>
  <si>
    <t>m</t>
  </si>
  <si>
    <t>°C</t>
  </si>
  <si>
    <t>kPa</t>
  </si>
  <si>
    <t>EPA status mass</t>
  </si>
  <si>
    <t>Absolute CdA</t>
  </si>
  <si>
    <t>Lookup from DB</t>
  </si>
  <si>
    <t>WLTP</t>
  </si>
  <si>
    <t>HEV</t>
  </si>
  <si>
    <t>AMT</t>
  </si>
  <si>
    <t>RWD</t>
  </si>
  <si>
    <t>ETHANOL</t>
  </si>
  <si>
    <t>WLTP_TMH</t>
  </si>
  <si>
    <t>TWC</t>
  </si>
  <si>
    <t>Mid</t>
  </si>
  <si>
    <t>-4</t>
  </si>
  <si>
    <t>From test coastdown</t>
  </si>
  <si>
    <t>Manual/test</t>
  </si>
  <si>
    <t>Existing DB component</t>
  </si>
  <si>
    <t>Existing</t>
  </si>
  <si>
    <t>relative_to_reference</t>
  </si>
  <si>
    <t>lbf</t>
  </si>
  <si>
    <t>N/mph</t>
  </si>
  <si>
    <t>N/mph²</t>
  </si>
  <si>
    <t>lb</t>
  </si>
  <si>
    <t>ft²</t>
  </si>
  <si>
    <t>kg/t</t>
  </si>
  <si>
    <t>lbft</t>
  </si>
  <si>
    <t>mm</t>
  </si>
  <si>
    <t>dec</t>
  </si>
  <si>
    <t>°F</t>
  </si>
  <si>
    <t>bar</t>
  </si>
  <si>
    <t>TWC shift</t>
  </si>
  <si>
    <t>Delta CdA</t>
  </si>
  <si>
    <t>Manual RRC</t>
  </si>
  <si>
    <t>ABNT (Brazil)</t>
  </si>
  <si>
    <t>PHEV</t>
  </si>
  <si>
    <t>CVT</t>
  </si>
  <si>
    <t>AWD</t>
  </si>
  <si>
    <t>FLEX</t>
  </si>
  <si>
    <t>WLTP_TML</t>
  </si>
  <si>
    <t>Top</t>
  </si>
  <si>
    <t>-3</t>
  </si>
  <si>
    <t>Component Build-up</t>
  </si>
  <si>
    <t>Coastdown</t>
  </si>
  <si>
    <t>New manual component</t>
  </si>
  <si>
    <t>New</t>
  </si>
  <si>
    <t>absolute_percent</t>
  </si>
  <si>
    <t>lbf/kph</t>
  </si>
  <si>
    <t>lbf/kph²</t>
  </si>
  <si>
    <t>lbf/klbf</t>
  </si>
  <si>
    <t>in</t>
  </si>
  <si>
    <t>Performance curb mass</t>
  </si>
  <si>
    <t>Tire Improvement %</t>
  </si>
  <si>
    <t>Absolute ABC</t>
  </si>
  <si>
    <t>BEV</t>
  </si>
  <si>
    <t>MT</t>
  </si>
  <si>
    <t>4WD</t>
  </si>
  <si>
    <t>DIESEL</t>
  </si>
  <si>
    <t>GVWR</t>
  </si>
  <si>
    <t>-2</t>
  </si>
  <si>
    <t>Manual A/B/C</t>
  </si>
  <si>
    <t>lbf/mph</t>
  </si>
  <si>
    <t>lbf/mph²</t>
  </si>
  <si>
    <t>WLTP mass line</t>
  </si>
  <si>
    <t>Walked tire comparison</t>
  </si>
  <si>
    <t>Delta ABC</t>
  </si>
  <si>
    <t>OT</t>
  </si>
  <si>
    <t>ELECTRIC</t>
  </si>
  <si>
    <t>GCWR_TRAILER</t>
  </si>
  <si>
    <t>-1</t>
  </si>
  <si>
    <t>Imported</t>
  </si>
  <si>
    <t>Not used</t>
  </si>
  <si>
    <t>GVWR loaded mass</t>
  </si>
  <si>
    <t>Transmission Loss %</t>
  </si>
  <si>
    <t>Residual torque</t>
  </si>
  <si>
    <t>DD</t>
  </si>
  <si>
    <t>CNG</t>
  </si>
  <si>
    <t>CURB_PLUS_100</t>
  </si>
  <si>
    <t>0</t>
  </si>
  <si>
    <t>GCWR / trailer mass</t>
  </si>
  <si>
    <t>LPG</t>
  </si>
  <si>
    <t>CURB</t>
  </si>
  <si>
    <t>+1</t>
  </si>
  <si>
    <t>Custom test mass</t>
  </si>
  <si>
    <t>HYDROGEN</t>
  </si>
  <si>
    <t>PHYSICAL_TEST_MASS</t>
  </si>
  <si>
    <t>+2</t>
  </si>
  <si>
    <t>CUSTOM</t>
  </si>
  <si>
    <t>+3</t>
  </si>
  <si>
    <t>CURB_PLUS_EPA_STD</t>
  </si>
  <si>
    <t>+4</t>
  </si>
  <si>
    <t>+5</t>
  </si>
  <si>
    <t>Rule</t>
  </si>
  <si>
    <t>Frozen behavior</t>
  </si>
  <si>
    <t>Main sheet</t>
  </si>
  <si>
    <t>REQUEST is the only main human-input sheet. Old REQUEST/Draft variants were removed.</t>
  </si>
  <si>
    <t>Original value printed from DB/UI. Parser treats it as read-only source value.</t>
  </si>
  <si>
    <t>Optional manual correction/reference override. If filled, it becomes effective baseline for that field.</t>
  </si>
  <si>
    <t>Effective baseline</t>
  </si>
  <si>
    <t>effective_baseline = Baseline Correction if nonblank, else Baseline / Printed if nonblank, else missing.</t>
  </si>
  <si>
    <t>Blank cells</t>
  </si>
  <si>
    <t>Blank requested cells mean inherit/no request.</t>
  </si>
  <si>
    <t>Zero</t>
  </si>
  <si>
    <t>0 is explicit numeric request and must not be treated as blank.</t>
  </si>
  <si>
    <t>Parser reads proposal types first, then reads only fields relevant to selected domain proposal type.</t>
  </si>
  <si>
    <t>Mass refactor</t>
  </si>
  <si>
    <t>GVWR/GCWR/TWC/WLTP/Custom are proposal-type choices/support inputs, not separate top-level scenario rows.</t>
  </si>
  <si>
    <t>Mass fields</t>
  </si>
  <si>
    <t>Mass is controlled by Mass proposal type + Test Mass Basis + compact support fields.</t>
  </si>
  <si>
    <t>ABC component fields</t>
  </si>
  <si>
    <t>Transmission/Brake/Axle/Parasitic A/B/C meaning is defined by proposal type: absolute, delta, DB lookup or not used.</t>
  </si>
  <si>
    <t>Component DBs</t>
  </si>
  <si>
    <t>Technical details should live in Tire/Brake/Transmission/Axle/Parasitic DBs. REQUEST stores DB ID/code or compact manual A/B/C/RRC.</t>
  </si>
  <si>
    <t>For request delta preview only, missing baseline is treated as 0 and status should be Review.</t>
  </si>
  <si>
    <t>Units</t>
  </si>
  <si>
    <t>Default parser units are the first option of each unit list. Alternate units require conversion.</t>
  </si>
  <si>
    <t>Requested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</si>
</sst>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>
    <font>
      <sz val="11"/>
      <name val="Carlito"/>
    </font>
    <font>
      <b/>
      <sz val="14"/>
      <color rgb="FFFFFFFF"/>
      <name val="Carlito"/>
    </font>
    <font>
      <i/>
      <sz val="11"/>
      <color rgb="FF344054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FFA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7DEE8"/>
      </patternFill>
    </fill>
    <fill>
      <patternFill patternType="solid">
        <fgColor rgb="FF7F6000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4" fillId="8" borderId="0" xfId="0" applyFont="1" applyFill="1" applyAlignment="1">
      <alignment horizontal="left" wrapText="1"/>
    </xf>
    <xf numFmtId="0" fontId="3" fillId="9" borderId="0" xfId="0" applyFont="1" applyFill="1" applyAlignment="1">
      <alignment horizontal="center"/>
    </xf>
    <xf numFmtId="164" fontId="0" fillId="5" borderId="0" xfId="0" applyNumberFormat="1" applyFill="1" applyAlignment="1">
      <alignment wrapText="1"/>
    </xf>
    <xf numFmtId="164" fontId="0" fillId="6" borderId="0" xfId="0" applyNumberFormat="1" applyFill="1" applyAlignment="1">
      <alignment wrapText="1"/>
    </xf>
    <xf numFmtId="164" fontId="0" fillId="7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165" fontId="0" fillId="7" borderId="0" xfId="0" applyNumberForma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wrapText="1"/>
    </xf>
    <xf numFmtId="0" fontId="0" fillId="10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8" sqref="A48:XFD48"/>
    </sheetView>
  </sheetViews>
  <sheetFormatPr defaultRowHeight="14.25"/>
  <cols>
    <col min="1" max="1" width="20" customWidth="1"/>
    <col min="2" max="2" width="30" customWidth="1"/>
    <col min="3" max="3" width="12" customWidth="1"/>
    <col min="4" max="5" width="18" customWidth="1"/>
    <col min="6" max="16" width="16" customWidth="1"/>
    <col min="18" max="19" width="32" customWidth="1"/>
  </cols>
  <sheetData>
    <row r="1" spans="1:19" ht="16.7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15"/>
      <c r="R1" s="8" t="s">
        <v>1</v>
      </c>
      <c r="S1" s="8" t="s">
        <v>2</v>
      </c>
    </row>
    <row r="2" spans="1:19" ht="92.45" customHeight="1">
      <c r="A2" s="24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16"/>
      <c r="R2" s="5" t="s">
        <v>4</v>
      </c>
      <c r="S2" s="5" t="s">
        <v>5</v>
      </c>
    </row>
    <row r="3" spans="1:19" ht="39.6" customHeight="1">
      <c r="R3" s="5" t="s">
        <v>6</v>
      </c>
      <c r="S3" s="5" t="s">
        <v>7</v>
      </c>
    </row>
    <row r="4" spans="1:19" ht="26.45" customHeight="1">
      <c r="A4" s="2" t="s">
        <v>8</v>
      </c>
      <c r="B4" s="2" t="s">
        <v>9</v>
      </c>
      <c r="C4" s="2" t="s">
        <v>10</v>
      </c>
      <c r="D4" s="17" t="s">
        <v>4</v>
      </c>
      <c r="E4" s="18" t="s">
        <v>6</v>
      </c>
      <c r="F4" s="19" t="s">
        <v>11</v>
      </c>
      <c r="G4" s="19" t="s">
        <v>12</v>
      </c>
      <c r="H4" s="19" t="s">
        <v>13</v>
      </c>
      <c r="I4" s="19" t="s">
        <v>14</v>
      </c>
      <c r="J4" s="19" t="s">
        <v>15</v>
      </c>
      <c r="K4" s="19" t="s">
        <v>16</v>
      </c>
      <c r="L4" s="19" t="s">
        <v>17</v>
      </c>
      <c r="M4" s="19" t="s">
        <v>18</v>
      </c>
      <c r="N4" s="19" t="s">
        <v>19</v>
      </c>
      <c r="O4" s="19" t="s">
        <v>20</v>
      </c>
      <c r="P4" s="19" t="s">
        <v>463</v>
      </c>
      <c r="R4" s="5" t="s">
        <v>21</v>
      </c>
      <c r="S4" s="5" t="s">
        <v>22</v>
      </c>
    </row>
    <row r="5" spans="1:19" ht="15" customHeight="1">
      <c r="A5" s="7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5" t="s">
        <v>24</v>
      </c>
      <c r="S5" s="5" t="s">
        <v>25</v>
      </c>
    </row>
    <row r="6" spans="1:19" ht="15" customHeight="1">
      <c r="A6" s="3" t="s">
        <v>23</v>
      </c>
      <c r="B6" s="3" t="s">
        <v>26</v>
      </c>
      <c r="C6" s="3" t="s">
        <v>27</v>
      </c>
      <c r="D6" s="4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R6" s="5" t="s">
        <v>28</v>
      </c>
      <c r="S6" s="5" t="s">
        <v>29</v>
      </c>
    </row>
    <row r="7" spans="1:19" ht="39.6" customHeight="1">
      <c r="A7" s="3" t="s">
        <v>23</v>
      </c>
      <c r="B7" s="3" t="s">
        <v>30</v>
      </c>
      <c r="C7" s="3" t="s">
        <v>27</v>
      </c>
      <c r="D7" s="4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R7" s="5" t="s">
        <v>31</v>
      </c>
      <c r="S7" s="5" t="s">
        <v>32</v>
      </c>
    </row>
    <row r="8" spans="1:19" ht="39.6" customHeight="1">
      <c r="A8" s="3" t="s">
        <v>23</v>
      </c>
      <c r="B8" s="3" t="s">
        <v>33</v>
      </c>
      <c r="C8" s="3" t="s">
        <v>27</v>
      </c>
      <c r="D8" s="4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5" t="s">
        <v>34</v>
      </c>
      <c r="S8" s="5" t="s">
        <v>35</v>
      </c>
    </row>
    <row r="9" spans="1:19" ht="52.7" customHeight="1">
      <c r="A9" s="3" t="s">
        <v>23</v>
      </c>
      <c r="B9" s="3" t="s">
        <v>36</v>
      </c>
      <c r="C9" s="3" t="s">
        <v>27</v>
      </c>
      <c r="D9" s="4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R9" s="5" t="s">
        <v>37</v>
      </c>
      <c r="S9" s="5" t="s">
        <v>38</v>
      </c>
    </row>
    <row r="10" spans="1:19" ht="39.6" customHeight="1">
      <c r="A10" s="3" t="s">
        <v>23</v>
      </c>
      <c r="B10" s="3" t="s">
        <v>39</v>
      </c>
      <c r="C10" s="3" t="s">
        <v>27</v>
      </c>
      <c r="D10" s="4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R10" s="5" t="s">
        <v>40</v>
      </c>
      <c r="S10" s="5" t="s">
        <v>41</v>
      </c>
    </row>
    <row r="11" spans="1:19" ht="15" customHeight="1">
      <c r="A11" s="3" t="s">
        <v>23</v>
      </c>
      <c r="B11" s="3" t="s">
        <v>42</v>
      </c>
      <c r="C11" s="3" t="s">
        <v>27</v>
      </c>
      <c r="D11" s="4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9" ht="15" customHeight="1">
      <c r="A12" s="3" t="s">
        <v>23</v>
      </c>
      <c r="B12" s="3" t="s">
        <v>43</v>
      </c>
      <c r="C12" s="3" t="s">
        <v>27</v>
      </c>
      <c r="D12" s="4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9" ht="15" customHeight="1">
      <c r="A13" s="3" t="s">
        <v>23</v>
      </c>
      <c r="B13" s="3" t="s">
        <v>44</v>
      </c>
      <c r="C13" s="3" t="s">
        <v>27</v>
      </c>
      <c r="D13" s="4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9" ht="15" customHeight="1">
      <c r="A14" s="3" t="s">
        <v>23</v>
      </c>
      <c r="B14" s="3" t="s">
        <v>45</v>
      </c>
      <c r="C14" s="3" t="s">
        <v>27</v>
      </c>
      <c r="D14" s="4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9" ht="15" customHeight="1">
      <c r="A15" s="3" t="s">
        <v>23</v>
      </c>
      <c r="B15" s="3" t="s">
        <v>46</v>
      </c>
      <c r="C15" s="3" t="s">
        <v>27</v>
      </c>
      <c r="D15" s="4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9" ht="15" customHeight="1">
      <c r="A16" s="3" t="s">
        <v>23</v>
      </c>
      <c r="B16" s="3" t="s">
        <v>47</v>
      </c>
      <c r="C16" s="3" t="s">
        <v>27</v>
      </c>
      <c r="D16" s="4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5" customHeight="1">
      <c r="A17" s="3" t="s">
        <v>23</v>
      </c>
      <c r="B17" s="3" t="s">
        <v>48</v>
      </c>
      <c r="C17" s="3" t="s">
        <v>27</v>
      </c>
      <c r="D17" s="4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" customHeight="1">
      <c r="A18" s="3" t="s">
        <v>23</v>
      </c>
      <c r="B18" s="3" t="s">
        <v>49</v>
      </c>
      <c r="C18" s="3" t="s">
        <v>27</v>
      </c>
      <c r="D18" s="4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" customHeight="1">
      <c r="A19" s="3" t="s">
        <v>23</v>
      </c>
      <c r="B19" s="3" t="s">
        <v>50</v>
      </c>
      <c r="C19" s="3" t="s">
        <v>27</v>
      </c>
      <c r="D19" s="4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5" customHeight="1">
      <c r="A20" s="7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" customHeight="1">
      <c r="A21" s="3" t="s">
        <v>21</v>
      </c>
      <c r="B21" s="3" t="s">
        <v>51</v>
      </c>
      <c r="C21" s="3" t="s">
        <v>27</v>
      </c>
      <c r="D21" s="4" t="s">
        <v>52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" customHeight="1">
      <c r="A22" s="3" t="s">
        <v>21</v>
      </c>
      <c r="B22" s="3" t="s">
        <v>53</v>
      </c>
      <c r="C22" s="3" t="s">
        <v>27</v>
      </c>
      <c r="D22" s="4" t="s">
        <v>52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" customHeight="1">
      <c r="A23" s="3" t="s">
        <v>21</v>
      </c>
      <c r="B23" s="3" t="s">
        <v>54</v>
      </c>
      <c r="C23" s="3" t="s">
        <v>27</v>
      </c>
      <c r="D23" s="4" t="s">
        <v>52</v>
      </c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" customHeight="1">
      <c r="A24" s="3" t="s">
        <v>21</v>
      </c>
      <c r="B24" s="3" t="s">
        <v>55</v>
      </c>
      <c r="C24" s="3" t="s">
        <v>27</v>
      </c>
      <c r="D24" s="4" t="s">
        <v>52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" customHeight="1">
      <c r="A25" s="3" t="s">
        <v>21</v>
      </c>
      <c r="B25" s="3" t="s">
        <v>56</v>
      </c>
      <c r="C25" s="3" t="s">
        <v>27</v>
      </c>
      <c r="D25" s="4" t="s">
        <v>52</v>
      </c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" customHeight="1">
      <c r="A26" s="3" t="s">
        <v>21</v>
      </c>
      <c r="B26" s="3" t="s">
        <v>57</v>
      </c>
      <c r="C26" s="3" t="s">
        <v>27</v>
      </c>
      <c r="D26" s="4" t="s">
        <v>52</v>
      </c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" customHeight="1">
      <c r="A27" s="3" t="s">
        <v>21</v>
      </c>
      <c r="B27" s="3" t="s">
        <v>58</v>
      </c>
      <c r="C27" s="3" t="s">
        <v>27</v>
      </c>
      <c r="D27" s="4" t="s">
        <v>52</v>
      </c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" customHeight="1">
      <c r="A28" s="7" t="s">
        <v>59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15" customHeight="1">
      <c r="A29" s="3" t="s">
        <v>59</v>
      </c>
      <c r="B29" s="3" t="s">
        <v>60</v>
      </c>
      <c r="C29" s="3" t="s">
        <v>27</v>
      </c>
      <c r="D29" s="4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" customHeight="1">
      <c r="A30" s="3" t="s">
        <v>59</v>
      </c>
      <c r="B30" s="3" t="s">
        <v>61</v>
      </c>
      <c r="C30" s="3" t="s">
        <v>62</v>
      </c>
      <c r="D30" s="9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" customHeight="1">
      <c r="A31" s="3" t="s">
        <v>59</v>
      </c>
      <c r="B31" s="3" t="s">
        <v>63</v>
      </c>
      <c r="C31" s="3" t="s">
        <v>64</v>
      </c>
      <c r="D31" s="12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" customHeight="1">
      <c r="A32" s="3" t="s">
        <v>59</v>
      </c>
      <c r="B32" s="3" t="s">
        <v>65</v>
      </c>
      <c r="C32" s="3" t="s">
        <v>66</v>
      </c>
      <c r="D32" s="12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" customHeight="1">
      <c r="A33" s="3" t="s">
        <v>59</v>
      </c>
      <c r="B33" s="3" t="s">
        <v>67</v>
      </c>
      <c r="C33" s="3" t="s">
        <v>27</v>
      </c>
      <c r="D33" s="4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" customHeight="1">
      <c r="A34" s="7" t="s">
        <v>68</v>
      </c>
      <c r="B34" s="7"/>
      <c r="C34" s="7"/>
      <c r="D34" s="7"/>
      <c r="E34" s="7"/>
      <c r="F34" s="7" t="str">
        <f>IF(F$21&lt;&gt;0,F$21,"")</f>
        <v/>
      </c>
      <c r="G34" s="7" t="str">
        <f t="shared" ref="G34:P34" si="0">IF(G$21&lt;&gt;0,G$21,"")</f>
        <v/>
      </c>
      <c r="H34" s="7" t="str">
        <f t="shared" si="0"/>
        <v/>
      </c>
      <c r="I34" s="7" t="str">
        <f t="shared" si="0"/>
        <v/>
      </c>
      <c r="J34" s="7" t="str">
        <f t="shared" si="0"/>
        <v/>
      </c>
      <c r="K34" s="7" t="str">
        <f t="shared" si="0"/>
        <v/>
      </c>
      <c r="L34" s="7" t="str">
        <f t="shared" si="0"/>
        <v/>
      </c>
      <c r="M34" s="7" t="str">
        <f t="shared" si="0"/>
        <v/>
      </c>
      <c r="N34" s="7" t="str">
        <f t="shared" si="0"/>
        <v/>
      </c>
      <c r="O34" s="7" t="str">
        <f t="shared" si="0"/>
        <v/>
      </c>
      <c r="P34" s="7" t="str">
        <f t="shared" si="0"/>
        <v/>
      </c>
    </row>
    <row r="35" spans="1:16" ht="15" customHeight="1">
      <c r="A35" s="3" t="s">
        <v>68</v>
      </c>
      <c r="B35" s="3" t="s">
        <v>69</v>
      </c>
      <c r="C35" s="3" t="s">
        <v>70</v>
      </c>
      <c r="D35" s="9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5" customHeight="1">
      <c r="A36" s="3" t="s">
        <v>68</v>
      </c>
      <c r="B36" s="3" t="s">
        <v>71</v>
      </c>
      <c r="C36" s="3" t="s">
        <v>70</v>
      </c>
      <c r="D36" s="9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ht="15" customHeight="1">
      <c r="A37" s="3" t="s">
        <v>68</v>
      </c>
      <c r="B37" s="3" t="s">
        <v>72</v>
      </c>
      <c r="C37" s="3" t="s">
        <v>27</v>
      </c>
      <c r="D37" s="4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" customHeight="1">
      <c r="A38" s="3" t="s">
        <v>68</v>
      </c>
      <c r="B38" s="3" t="s">
        <v>73</v>
      </c>
      <c r="C38" s="3" t="s">
        <v>70</v>
      </c>
      <c r="D38" s="9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customHeight="1">
      <c r="A39" s="3" t="s">
        <v>68</v>
      </c>
      <c r="B39" s="3" t="s">
        <v>74</v>
      </c>
      <c r="C39" s="3" t="s">
        <v>70</v>
      </c>
      <c r="D39" s="9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15" customHeight="1">
      <c r="A40" s="3" t="s">
        <v>68</v>
      </c>
      <c r="B40" s="3" t="s">
        <v>75</v>
      </c>
      <c r="C40" s="3" t="s">
        <v>76</v>
      </c>
      <c r="D40" s="9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15" customHeight="1">
      <c r="A41" s="3" t="s">
        <v>68</v>
      </c>
      <c r="B41" s="3" t="s">
        <v>77</v>
      </c>
      <c r="C41" s="3" t="s">
        <v>27</v>
      </c>
      <c r="D41" s="4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" customHeight="1">
      <c r="A42" s="3" t="s">
        <v>68</v>
      </c>
      <c r="B42" s="3" t="s">
        <v>78</v>
      </c>
      <c r="C42" s="3" t="s">
        <v>27</v>
      </c>
      <c r="D42" s="4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>
      <c r="A43" s="3" t="s">
        <v>68</v>
      </c>
      <c r="B43" s="3" t="s">
        <v>79</v>
      </c>
      <c r="C43" s="3" t="s">
        <v>27</v>
      </c>
      <c r="D43" s="4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>
      <c r="A44" s="3" t="s">
        <v>68</v>
      </c>
      <c r="B44" s="3" t="s">
        <v>80</v>
      </c>
      <c r="C44" s="3" t="s">
        <v>27</v>
      </c>
      <c r="D44" s="4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s="21" customFormat="1" ht="15" customHeight="1">
      <c r="A45" s="20" t="s">
        <v>81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5" customHeight="1">
      <c r="A46" s="3" t="s">
        <v>81</v>
      </c>
      <c r="B46" s="3" t="s">
        <v>82</v>
      </c>
      <c r="C46" s="3" t="s">
        <v>27</v>
      </c>
      <c r="D46" s="4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" customHeight="1">
      <c r="A47" s="3" t="s">
        <v>81</v>
      </c>
      <c r="B47" s="3" t="s">
        <v>83</v>
      </c>
      <c r="C47" s="3" t="s">
        <v>27</v>
      </c>
      <c r="D47" s="4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" customHeight="1">
      <c r="A48" s="3" t="s">
        <v>81</v>
      </c>
      <c r="B48" s="3" t="s">
        <v>84</v>
      </c>
      <c r="C48" s="3" t="s">
        <v>70</v>
      </c>
      <c r="D48" s="9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15" customHeight="1">
      <c r="A49" s="3" t="s">
        <v>81</v>
      </c>
      <c r="B49" s="3" t="s">
        <v>85</v>
      </c>
      <c r="C49" s="3" t="s">
        <v>70</v>
      </c>
      <c r="D49" s="9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15" customHeight="1">
      <c r="A50" s="3" t="s">
        <v>81</v>
      </c>
      <c r="B50" s="3" t="s">
        <v>86</v>
      </c>
      <c r="C50" s="3" t="s">
        <v>62</v>
      </c>
      <c r="D50" s="9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ht="15" customHeight="1">
      <c r="A51" s="3" t="s">
        <v>81</v>
      </c>
      <c r="B51" s="3" t="s">
        <v>87</v>
      </c>
      <c r="C51" s="3" t="s">
        <v>64</v>
      </c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" customHeight="1">
      <c r="A52" s="3" t="s">
        <v>81</v>
      </c>
      <c r="B52" s="3" t="s">
        <v>88</v>
      </c>
      <c r="C52" s="3" t="s">
        <v>66</v>
      </c>
      <c r="D52" s="12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" customHeight="1">
      <c r="A53" s="7" t="s">
        <v>89</v>
      </c>
      <c r="B53" s="7"/>
      <c r="C53" s="7"/>
      <c r="D53" s="7"/>
      <c r="E53" s="7"/>
      <c r="F53" s="7" t="str">
        <f>IF(F$22&lt;&gt;0,F$22,"")</f>
        <v/>
      </c>
      <c r="G53" s="7" t="str">
        <f t="shared" ref="G53:P53" si="1">IF(G$22&lt;&gt;0,G$22,"")</f>
        <v/>
      </c>
      <c r="H53" s="7" t="str">
        <f t="shared" si="1"/>
        <v/>
      </c>
      <c r="I53" s="7" t="str">
        <f t="shared" si="1"/>
        <v/>
      </c>
      <c r="J53" s="7" t="str">
        <f t="shared" si="1"/>
        <v/>
      </c>
      <c r="K53" s="7" t="str">
        <f t="shared" si="1"/>
        <v/>
      </c>
      <c r="L53" s="7" t="str">
        <f t="shared" si="1"/>
        <v/>
      </c>
      <c r="M53" s="7" t="str">
        <f t="shared" si="1"/>
        <v/>
      </c>
      <c r="N53" s="7" t="str">
        <f t="shared" si="1"/>
        <v/>
      </c>
      <c r="O53" s="7" t="str">
        <f t="shared" si="1"/>
        <v/>
      </c>
      <c r="P53" s="7" t="str">
        <f t="shared" si="1"/>
        <v/>
      </c>
    </row>
    <row r="54" spans="1:16" ht="15" customHeight="1">
      <c r="A54" s="3" t="s">
        <v>89</v>
      </c>
      <c r="B54" s="3" t="s">
        <v>90</v>
      </c>
      <c r="C54" s="3" t="s">
        <v>91</v>
      </c>
      <c r="D54" s="12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" customHeight="1">
      <c r="A55" s="3" t="s">
        <v>89</v>
      </c>
      <c r="B55" s="3" t="s">
        <v>92</v>
      </c>
      <c r="C55" s="3" t="s">
        <v>91</v>
      </c>
      <c r="D55" s="12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" customHeight="1">
      <c r="A56" s="3" t="s">
        <v>89</v>
      </c>
      <c r="B56" s="3" t="s">
        <v>93</v>
      </c>
      <c r="C56" s="3" t="s">
        <v>27</v>
      </c>
      <c r="D56" s="4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" customHeight="1">
      <c r="A57" s="7" t="s">
        <v>34</v>
      </c>
      <c r="B57" s="7"/>
      <c r="C57" s="7"/>
      <c r="D57" s="7"/>
      <c r="E57" s="7"/>
      <c r="F57" s="7" t="str">
        <f>IF(F$23&lt;&gt;0,F$23,"")</f>
        <v/>
      </c>
      <c r="G57" s="7" t="str">
        <f t="shared" ref="G57:P57" si="2">IF(G$23&lt;&gt;0,G$23,"")</f>
        <v/>
      </c>
      <c r="H57" s="7" t="str">
        <f t="shared" si="2"/>
        <v/>
      </c>
      <c r="I57" s="7" t="str">
        <f t="shared" si="2"/>
        <v/>
      </c>
      <c r="J57" s="7" t="str">
        <f t="shared" si="2"/>
        <v/>
      </c>
      <c r="K57" s="7" t="str">
        <f t="shared" si="2"/>
        <v/>
      </c>
      <c r="L57" s="7" t="str">
        <f t="shared" si="2"/>
        <v/>
      </c>
      <c r="M57" s="7" t="str">
        <f t="shared" si="2"/>
        <v/>
      </c>
      <c r="N57" s="7" t="str">
        <f t="shared" si="2"/>
        <v/>
      </c>
      <c r="O57" s="7" t="str">
        <f t="shared" si="2"/>
        <v/>
      </c>
      <c r="P57" s="7" t="str">
        <f t="shared" si="2"/>
        <v/>
      </c>
    </row>
    <row r="58" spans="1:16" ht="15" customHeight="1">
      <c r="A58" s="3" t="s">
        <v>34</v>
      </c>
      <c r="B58" s="3" t="s">
        <v>94</v>
      </c>
      <c r="C58" s="3" t="s">
        <v>27</v>
      </c>
      <c r="D58" s="4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" customHeight="1">
      <c r="A59" s="3" t="s">
        <v>34</v>
      </c>
      <c r="B59" s="3" t="s">
        <v>95</v>
      </c>
      <c r="C59" s="3" t="s">
        <v>27</v>
      </c>
      <c r="D59" s="4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" customHeight="1">
      <c r="A60" s="3" t="s">
        <v>34</v>
      </c>
      <c r="B60" s="3" t="s">
        <v>96</v>
      </c>
      <c r="C60" s="3" t="s">
        <v>27</v>
      </c>
      <c r="D60" s="4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" customHeight="1">
      <c r="A61" s="3" t="s">
        <v>34</v>
      </c>
      <c r="B61" s="3" t="s">
        <v>97</v>
      </c>
      <c r="C61" s="3" t="s">
        <v>98</v>
      </c>
      <c r="D61" s="12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" customHeight="1">
      <c r="A62" s="3" t="s">
        <v>34</v>
      </c>
      <c r="B62" s="3" t="s">
        <v>99</v>
      </c>
      <c r="C62" s="3" t="s">
        <v>98</v>
      </c>
      <c r="D62" s="12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" customHeight="1">
      <c r="A63" s="3" t="s">
        <v>34</v>
      </c>
      <c r="B63" s="3" t="s">
        <v>100</v>
      </c>
      <c r="C63" s="3" t="s">
        <v>98</v>
      </c>
      <c r="D63" s="12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" customHeight="1">
      <c r="A64" s="3" t="s">
        <v>34</v>
      </c>
      <c r="B64" s="3" t="s">
        <v>101</v>
      </c>
      <c r="C64" s="3" t="s">
        <v>98</v>
      </c>
      <c r="D64" s="12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" customHeight="1">
      <c r="A65" s="3" t="s">
        <v>34</v>
      </c>
      <c r="B65" s="3" t="s">
        <v>102</v>
      </c>
      <c r="C65" s="3" t="s">
        <v>103</v>
      </c>
      <c r="D65" s="12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" customHeight="1">
      <c r="A66" s="3" t="s">
        <v>34</v>
      </c>
      <c r="B66" s="3" t="s">
        <v>104</v>
      </c>
      <c r="C66" s="3" t="s">
        <v>27</v>
      </c>
      <c r="D66" s="4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" customHeight="1">
      <c r="A67" s="3" t="s">
        <v>34</v>
      </c>
      <c r="B67" s="3" t="s">
        <v>105</v>
      </c>
      <c r="C67" s="3" t="s">
        <v>76</v>
      </c>
      <c r="D67" s="9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15" customHeight="1">
      <c r="A68" s="3" t="s">
        <v>34</v>
      </c>
      <c r="B68" s="3" t="s">
        <v>106</v>
      </c>
      <c r="C68" s="3" t="s">
        <v>27</v>
      </c>
      <c r="D68" s="4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" customHeight="1">
      <c r="A69" s="7" t="s">
        <v>107</v>
      </c>
      <c r="B69" s="7"/>
      <c r="C69" s="7"/>
      <c r="D69" s="7"/>
      <c r="E69" s="7"/>
      <c r="F69" s="7" t="str">
        <f>IF(F$24&lt;&gt;0,F$24,"")</f>
        <v/>
      </c>
      <c r="G69" s="7" t="str">
        <f t="shared" ref="G69:P69" si="3">IF(G$24&lt;&gt;0,G$24,"")</f>
        <v/>
      </c>
      <c r="H69" s="7" t="str">
        <f t="shared" si="3"/>
        <v/>
      </c>
      <c r="I69" s="7" t="str">
        <f t="shared" si="3"/>
        <v/>
      </c>
      <c r="J69" s="7" t="str">
        <f t="shared" si="3"/>
        <v/>
      </c>
      <c r="K69" s="7" t="str">
        <f t="shared" si="3"/>
        <v/>
      </c>
      <c r="L69" s="7" t="str">
        <f t="shared" si="3"/>
        <v/>
      </c>
      <c r="M69" s="7" t="str">
        <f t="shared" si="3"/>
        <v/>
      </c>
      <c r="N69" s="7" t="str">
        <f t="shared" si="3"/>
        <v/>
      </c>
      <c r="O69" s="7" t="str">
        <f t="shared" si="3"/>
        <v/>
      </c>
      <c r="P69" s="7" t="str">
        <f t="shared" si="3"/>
        <v/>
      </c>
    </row>
    <row r="70" spans="1:16" ht="15" customHeight="1">
      <c r="A70" s="3" t="s">
        <v>107</v>
      </c>
      <c r="B70" s="3" t="s">
        <v>108</v>
      </c>
      <c r="C70" s="3" t="s">
        <v>27</v>
      </c>
      <c r="D70" s="4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" customHeight="1">
      <c r="A71" s="3" t="s">
        <v>107</v>
      </c>
      <c r="B71" s="3" t="s">
        <v>109</v>
      </c>
      <c r="C71" s="3" t="s">
        <v>27</v>
      </c>
      <c r="D71" s="4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" customHeight="1">
      <c r="A72" s="3" t="s">
        <v>107</v>
      </c>
      <c r="B72" s="3" t="s">
        <v>110</v>
      </c>
      <c r="C72" s="3" t="s">
        <v>62</v>
      </c>
      <c r="D72" s="9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5" customHeight="1">
      <c r="A73" s="3" t="s">
        <v>107</v>
      </c>
      <c r="B73" s="3" t="s">
        <v>111</v>
      </c>
      <c r="C73" s="3" t="s">
        <v>64</v>
      </c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ht="15" customHeight="1">
      <c r="A74" s="3" t="s">
        <v>107</v>
      </c>
      <c r="B74" s="3" t="s">
        <v>112</v>
      </c>
      <c r="C74" s="3" t="s">
        <v>66</v>
      </c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ht="15" customHeight="1">
      <c r="A75" s="3" t="s">
        <v>107</v>
      </c>
      <c r="B75" s="3" t="s">
        <v>113</v>
      </c>
      <c r="C75" s="3" t="s">
        <v>76</v>
      </c>
      <c r="D75" s="9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5" customHeight="1">
      <c r="A76" s="3" t="s">
        <v>107</v>
      </c>
      <c r="B76" s="3" t="s">
        <v>114</v>
      </c>
      <c r="C76" s="3" t="s">
        <v>27</v>
      </c>
      <c r="D76" s="4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" customHeight="1">
      <c r="A77" s="7" t="s">
        <v>115</v>
      </c>
      <c r="B77" s="7"/>
      <c r="C77" s="7"/>
      <c r="D77" s="7"/>
      <c r="E77" s="7"/>
      <c r="F77" s="7" t="str">
        <f>IF(F$25&lt;&gt;0,F$25,"")</f>
        <v/>
      </c>
      <c r="G77" s="7" t="str">
        <f t="shared" ref="G77:P77" si="4">IF(G$25&lt;&gt;0,G$25,"")</f>
        <v/>
      </c>
      <c r="H77" s="7" t="str">
        <f t="shared" si="4"/>
        <v/>
      </c>
      <c r="I77" s="7" t="str">
        <f t="shared" si="4"/>
        <v/>
      </c>
      <c r="J77" s="7" t="str">
        <f t="shared" si="4"/>
        <v/>
      </c>
      <c r="K77" s="7" t="str">
        <f t="shared" si="4"/>
        <v/>
      </c>
      <c r="L77" s="7" t="str">
        <f t="shared" si="4"/>
        <v/>
      </c>
      <c r="M77" s="7" t="str">
        <f t="shared" si="4"/>
        <v/>
      </c>
      <c r="N77" s="7" t="str">
        <f t="shared" si="4"/>
        <v/>
      </c>
      <c r="O77" s="7" t="str">
        <f t="shared" si="4"/>
        <v/>
      </c>
      <c r="P77" s="7" t="str">
        <f t="shared" si="4"/>
        <v/>
      </c>
    </row>
    <row r="78" spans="1:16" ht="15" customHeight="1">
      <c r="A78" s="3" t="s">
        <v>115</v>
      </c>
      <c r="B78" s="3" t="s">
        <v>116</v>
      </c>
      <c r="C78" s="3" t="s">
        <v>27</v>
      </c>
      <c r="D78" s="4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" customHeight="1">
      <c r="A79" s="3" t="s">
        <v>115</v>
      </c>
      <c r="B79" s="3" t="s">
        <v>109</v>
      </c>
      <c r="C79" s="3" t="s">
        <v>27</v>
      </c>
      <c r="D79" s="4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" customHeight="1">
      <c r="A80" s="3" t="s">
        <v>115</v>
      </c>
      <c r="B80" s="3" t="s">
        <v>117</v>
      </c>
      <c r="C80" s="3" t="s">
        <v>62</v>
      </c>
      <c r="D80" s="9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6" ht="15" customHeight="1">
      <c r="A81" s="3" t="s">
        <v>115</v>
      </c>
      <c r="B81" s="3" t="s">
        <v>118</v>
      </c>
      <c r="C81" s="3" t="s">
        <v>64</v>
      </c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ht="15" customHeight="1">
      <c r="A82" s="3" t="s">
        <v>115</v>
      </c>
      <c r="B82" s="3" t="s">
        <v>119</v>
      </c>
      <c r="C82" s="3" t="s">
        <v>66</v>
      </c>
      <c r="D82" s="12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ht="15" customHeight="1">
      <c r="A83" s="3" t="s">
        <v>115</v>
      </c>
      <c r="B83" s="3" t="s">
        <v>120</v>
      </c>
      <c r="C83" s="3" t="s">
        <v>121</v>
      </c>
      <c r="D83" s="9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5" customHeight="1">
      <c r="A84" s="7" t="s">
        <v>122</v>
      </c>
      <c r="B84" s="7"/>
      <c r="C84" s="7"/>
      <c r="D84" s="7"/>
      <c r="E84" s="7"/>
      <c r="F84" s="7" t="str">
        <f>IF(F$26&lt;&gt;0,F$26,"")</f>
        <v/>
      </c>
      <c r="G84" s="7" t="str">
        <f t="shared" ref="G84:P84" si="5">IF(G$26&lt;&gt;0,G$26,"")</f>
        <v/>
      </c>
      <c r="H84" s="7" t="str">
        <f t="shared" si="5"/>
        <v/>
      </c>
      <c r="I84" s="7" t="str">
        <f t="shared" si="5"/>
        <v/>
      </c>
      <c r="J84" s="7" t="str">
        <f t="shared" si="5"/>
        <v/>
      </c>
      <c r="K84" s="7" t="str">
        <f t="shared" si="5"/>
        <v/>
      </c>
      <c r="L84" s="7" t="str">
        <f t="shared" si="5"/>
        <v/>
      </c>
      <c r="M84" s="7" t="str">
        <f t="shared" si="5"/>
        <v/>
      </c>
      <c r="N84" s="7" t="str">
        <f t="shared" si="5"/>
        <v/>
      </c>
      <c r="O84" s="7" t="str">
        <f t="shared" si="5"/>
        <v/>
      </c>
      <c r="P84" s="7" t="str">
        <f t="shared" si="5"/>
        <v/>
      </c>
    </row>
    <row r="85" spans="1:16" ht="15" customHeight="1">
      <c r="A85" s="3" t="s">
        <v>122</v>
      </c>
      <c r="B85" s="3" t="s">
        <v>123</v>
      </c>
      <c r="C85" s="3" t="s">
        <v>27</v>
      </c>
      <c r="D85" s="4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" customHeight="1">
      <c r="A86" s="3" t="s">
        <v>122</v>
      </c>
      <c r="B86" s="3" t="s">
        <v>109</v>
      </c>
      <c r="C86" s="3" t="s">
        <v>27</v>
      </c>
      <c r="D86" s="4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" customHeight="1">
      <c r="A87" s="3" t="s">
        <v>122</v>
      </c>
      <c r="B87" s="3" t="s">
        <v>124</v>
      </c>
      <c r="C87" s="3" t="s">
        <v>62</v>
      </c>
      <c r="D87" s="9"/>
      <c r="E87" s="1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6" ht="15" customHeight="1">
      <c r="A88" s="3" t="s">
        <v>122</v>
      </c>
      <c r="B88" s="3" t="s">
        <v>125</v>
      </c>
      <c r="C88" s="3" t="s">
        <v>64</v>
      </c>
      <c r="D88" s="12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" customHeight="1">
      <c r="A89" s="3" t="s">
        <v>122</v>
      </c>
      <c r="B89" s="3" t="s">
        <v>126</v>
      </c>
      <c r="C89" s="3" t="s">
        <v>66</v>
      </c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" customHeight="1">
      <c r="A90" s="7" t="s">
        <v>127</v>
      </c>
      <c r="B90" s="7"/>
      <c r="C90" s="7"/>
      <c r="D90" s="7"/>
      <c r="E90" s="7"/>
      <c r="F90" s="7" t="str">
        <f>IF(F$27&lt;&gt;0,F$27,"")</f>
        <v/>
      </c>
      <c r="G90" s="7" t="str">
        <f t="shared" ref="G90:P90" si="6">IF(G$27&lt;&gt;0,G$27,"")</f>
        <v/>
      </c>
      <c r="H90" s="7" t="str">
        <f t="shared" si="6"/>
        <v/>
      </c>
      <c r="I90" s="7" t="str">
        <f t="shared" si="6"/>
        <v/>
      </c>
      <c r="J90" s="7" t="str">
        <f t="shared" si="6"/>
        <v/>
      </c>
      <c r="K90" s="7" t="str">
        <f t="shared" si="6"/>
        <v/>
      </c>
      <c r="L90" s="7" t="str">
        <f t="shared" si="6"/>
        <v/>
      </c>
      <c r="M90" s="7" t="str">
        <f t="shared" si="6"/>
        <v/>
      </c>
      <c r="N90" s="7" t="str">
        <f t="shared" si="6"/>
        <v/>
      </c>
      <c r="O90" s="7" t="str">
        <f t="shared" si="6"/>
        <v/>
      </c>
      <c r="P90" s="7" t="str">
        <f t="shared" si="6"/>
        <v/>
      </c>
    </row>
    <row r="91" spans="1:16" ht="15" customHeight="1">
      <c r="A91" s="3" t="s">
        <v>127</v>
      </c>
      <c r="B91" s="3" t="s">
        <v>128</v>
      </c>
      <c r="C91" s="3" t="s">
        <v>27</v>
      </c>
      <c r="D91" s="4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" customHeight="1">
      <c r="A92" s="3" t="s">
        <v>127</v>
      </c>
      <c r="B92" s="3" t="s">
        <v>109</v>
      </c>
      <c r="C92" s="3" t="s">
        <v>27</v>
      </c>
      <c r="D92" s="4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" customHeight="1">
      <c r="A93" s="3" t="s">
        <v>127</v>
      </c>
      <c r="B93" s="3" t="s">
        <v>129</v>
      </c>
      <c r="C93" s="3" t="s">
        <v>62</v>
      </c>
      <c r="D93" s="9"/>
      <c r="E93" s="1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spans="1:16" ht="15" customHeight="1">
      <c r="A94" s="3" t="s">
        <v>127</v>
      </c>
      <c r="B94" s="3" t="s">
        <v>130</v>
      </c>
      <c r="C94" s="3" t="s">
        <v>64</v>
      </c>
      <c r="D94" s="12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 ht="15" customHeight="1">
      <c r="A95" s="3" t="s">
        <v>127</v>
      </c>
      <c r="B95" s="3" t="s">
        <v>131</v>
      </c>
      <c r="C95" s="3" t="s">
        <v>66</v>
      </c>
      <c r="D95" s="12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</sheetData>
  <mergeCells count="2">
    <mergeCell ref="A1:O1"/>
    <mergeCell ref="A2:O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xr:uid="{00000000-0002-0000-0000-000000000000}">
          <x14:formula1>
            <xm:f>LISTS!$H$2:$H$12</xm:f>
          </x14:formula1>
          <xm:sqref>E8:P8</xm:sqref>
        </x14:dataValidation>
        <x14:dataValidation type="list" xr:uid="{00000000-0002-0000-0000-000002000000}">
          <x14:formula1>
            <xm:f>LISTS!$I$2:$I$4</xm:f>
          </x14:formula1>
          <xm:sqref>E9:P9</xm:sqref>
        </x14:dataValidation>
        <x14:dataValidation type="list" xr:uid="{00000000-0002-0000-0000-000004000000}">
          <x14:formula1>
            <xm:f>LISTS!$J$2:$J$5</xm:f>
          </x14:formula1>
          <xm:sqref>E14:P14</xm:sqref>
        </x14:dataValidation>
        <x14:dataValidation type="list" xr:uid="{00000000-0002-0000-0000-000006000000}">
          <x14:formula1>
            <xm:f>LISTS!$K$2:$K$7</xm:f>
          </x14:formula1>
          <xm:sqref>E15:P15</xm:sqref>
        </x14:dataValidation>
        <x14:dataValidation type="list" xr:uid="{00000000-0002-0000-0000-000008000000}">
          <x14:formula1>
            <xm:f>LISTS!$L$2:$L$5</xm:f>
          </x14:formula1>
          <xm:sqref>E16:P16</xm:sqref>
        </x14:dataValidation>
        <x14:dataValidation type="list" xr:uid="{00000000-0002-0000-0000-00000A000000}">
          <x14:formula1>
            <xm:f>LISTS!$M$2:$M$9</xm:f>
          </x14:formula1>
          <xm:sqref>E17:P17</xm:sqref>
        </x14:dataValidation>
        <x14:dataValidation type="list" xr:uid="{00000000-0002-0000-0000-00000C000000}">
          <x14:formula1>
            <xm:f>LISTS!$A$2:$A$9</xm:f>
          </x14:formula1>
          <xm:sqref>F21:P21</xm:sqref>
        </x14:dataValidation>
        <x14:dataValidation type="list" xr:uid="{00000000-0002-0000-0000-00000D000000}">
          <x14:formula1>
            <xm:f>LISTS!$B$2:$B$4</xm:f>
          </x14:formula1>
          <xm:sqref>F22:P22</xm:sqref>
        </x14:dataValidation>
        <x14:dataValidation type="list" xr:uid="{00000000-0002-0000-0000-00000E000000}">
          <x14:formula1>
            <xm:f>LISTS!$C$2:$C$6</xm:f>
          </x14:formula1>
          <xm:sqref>F23:P23</xm:sqref>
        </x14:dataValidation>
        <x14:dataValidation type="list" xr:uid="{00000000-0002-0000-0000-000010000000}">
          <x14:formula1>
            <xm:f>LISTS!$E$2:$E$8</xm:f>
          </x14:formula1>
          <xm:sqref>F25:P25</xm:sqref>
        </x14:dataValidation>
        <x14:dataValidation type="list" xr:uid="{00000000-0002-0000-0000-000013000000}">
          <x14:formula1>
            <xm:f>LISTS!$R$2:$R$4</xm:f>
          </x14:formula1>
          <xm:sqref>E29:P29</xm:sqref>
        </x14:dataValidation>
        <x14:dataValidation type="list" xr:uid="{00000000-0002-0000-0000-000015000000}">
          <x14:formula1>
            <xm:f>LISTS!$S$2:$S$6</xm:f>
          </x14:formula1>
          <xm:sqref>E33:P33</xm:sqref>
        </x14:dataValidation>
        <x14:dataValidation type="list" xr:uid="{00000000-0002-0000-0000-000017000000}">
          <x14:formula1>
            <xm:f>LISTS!$N$2:$N$11</xm:f>
          </x14:formula1>
          <xm:sqref>E37:P37</xm:sqref>
        </x14:dataValidation>
        <x14:dataValidation type="list" xr:uid="{00000000-0002-0000-0000-000019000000}">
          <x14:formula1>
            <xm:f>LISTS!$O$2:$O$3</xm:f>
          </x14:formula1>
          <xm:sqref>E42:P42</xm:sqref>
        </x14:dataValidation>
        <x14:dataValidation type="list" xr:uid="{00000000-0002-0000-0000-00001B000000}">
          <x14:formula1>
            <xm:f>LISTS!$Q$2:$Q$12</xm:f>
          </x14:formula1>
          <xm:sqref>E43:P43</xm:sqref>
        </x14:dataValidation>
        <x14:dataValidation type="list" xr:uid="{00000000-0002-0000-0000-00001D000000}">
          <x14:formula1>
            <xm:f>LISTS!$P$2:$P$4</xm:f>
          </x14:formula1>
          <xm:sqref>E44:P44</xm:sqref>
        </x14:dataValidation>
        <x14:dataValidation type="list" xr:uid="{00000000-0002-0000-0000-00001F000000}">
          <x14:formula1>
            <xm:f>LISTS!$V$2:$V$4</xm:f>
          </x14:formula1>
          <xm:sqref>E76:P76</xm:sqref>
        </x14:dataValidation>
        <x14:dataValidation type="list" xr:uid="{00000000-0002-0000-0000-000021000000}">
          <x14:formula1>
            <xm:f>LISTS!$W$2:$W$2</xm:f>
          </x14:formula1>
          <xm:sqref>C85 C78 C76 C91:C92 C70 C68 C66 C58:C60 C56 C46:C47 C41:C44 C37 C33 C29 C21:C27 C6:C19</xm:sqref>
        </x14:dataValidation>
        <x14:dataValidation type="list" xr:uid="{00000000-0002-0000-0000-000037000000}">
          <x14:formula1>
            <xm:f>LISTS!$X$2:$X$3</xm:f>
          </x14:formula1>
          <xm:sqref>C30 C93 C87 C80 C72 C50</xm:sqref>
        </x14:dataValidation>
        <x14:dataValidation type="list" xr:uid="{00000000-0002-0000-0000-000038000000}">
          <x14:formula1>
            <xm:f>LISTS!$Y$2:$Y$5</xm:f>
          </x14:formula1>
          <xm:sqref>C31 C94 C88 C81 C73 C51</xm:sqref>
        </x14:dataValidation>
        <x14:dataValidation type="list" xr:uid="{00000000-0002-0000-0000-000039000000}">
          <x14:formula1>
            <xm:f>LISTS!$Z$2:$Z$5</xm:f>
          </x14:formula1>
          <xm:sqref>C32 C95 C89 C82 C74 C52</xm:sqref>
        </x14:dataValidation>
        <x14:dataValidation type="list" xr:uid="{00000000-0002-0000-0000-00003B000000}">
          <x14:formula1>
            <xm:f>LISTS!$AA$2:$AA$3</xm:f>
          </x14:formula1>
          <xm:sqref>C48:C49 C38:C39 C35:C36</xm:sqref>
        </x14:dataValidation>
        <x14:dataValidation type="list" xr:uid="{00000000-0002-0000-0000-000040000000}">
          <x14:formula1>
            <xm:f>LISTS!$AG$2:$AG$3</xm:f>
          </x14:formula1>
          <xm:sqref>C40 C75 C67</xm:sqref>
        </x14:dataValidation>
        <x14:dataValidation type="list" xr:uid="{00000000-0002-0000-0000-00004C000000}">
          <x14:formula1>
            <xm:f>LISTS!$AB$2:$AB$3</xm:f>
          </x14:formula1>
          <xm:sqref>C54:C55</xm:sqref>
        </x14:dataValidation>
        <x14:dataValidation type="list" xr:uid="{00000000-0002-0000-0000-000052000000}">
          <x14:formula1>
            <xm:f>LISTS!$AC$2:$AC$4</xm:f>
          </x14:formula1>
          <xm:sqref>C61:C64</xm:sqref>
        </x14:dataValidation>
        <x14:dataValidation type="list" xr:uid="{00000000-0002-0000-0000-000056000000}">
          <x14:formula1>
            <xm:f>LISTS!$AD$2:$AD$4</xm:f>
          </x14:formula1>
          <xm:sqref>C65</xm:sqref>
        </x14:dataValidation>
        <x14:dataValidation type="list" xr:uid="{00000000-0002-0000-0000-000065000000}">
          <x14:formula1>
            <xm:f>LISTS!$AE$2:$AE$3</xm:f>
          </x14:formula1>
          <xm:sqref>C83</xm:sqref>
        </x14:dataValidation>
        <x14:dataValidation type="list" xr:uid="{00000000-0002-0000-0000-00000F000000}">
          <x14:formula1>
            <xm:f>LISTS!$D$2:$D$7</xm:f>
          </x14:formula1>
          <xm:sqref>F24:P24</xm:sqref>
        </x14:dataValidation>
        <x14:dataValidation type="list" xr:uid="{00000000-0002-0000-0000-000011000000}">
          <x14:formula1>
            <xm:f>LISTS!$F$2:$F$6</xm:f>
          </x14:formula1>
          <xm:sqref>F26:P26</xm:sqref>
        </x14:dataValidation>
        <x14:dataValidation type="list" xr:uid="{00000000-0002-0000-0000-000012000000}">
          <x14:formula1>
            <xm:f>LISTS!$G$2:$G$6</xm:f>
          </x14:formula1>
          <xm:sqref>F27:P27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1"/>
  <sheetViews>
    <sheetView workbookViewId="0">
      <selection activeCell="C18" sqref="C18"/>
    </sheetView>
  </sheetViews>
  <sheetFormatPr defaultRowHeight="14.25"/>
  <cols>
    <col min="1" max="1" width="22" customWidth="1"/>
    <col min="2" max="2" width="30" customWidth="1"/>
    <col min="3" max="8" width="22" customWidth="1"/>
    <col min="9" max="9" width="45" customWidth="1"/>
  </cols>
  <sheetData>
    <row r="1" spans="1:26" ht="15" customHeigh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t="s">
        <v>23</v>
      </c>
      <c r="B2" t="s">
        <v>26</v>
      </c>
      <c r="C2" t="s">
        <v>140</v>
      </c>
      <c r="D2" t="s">
        <v>27</v>
      </c>
      <c r="E2" t="s">
        <v>141</v>
      </c>
      <c r="F2" t="s">
        <v>142</v>
      </c>
      <c r="G2" t="s">
        <v>143</v>
      </c>
      <c r="I2" t="s">
        <v>144</v>
      </c>
    </row>
    <row r="3" spans="1:26" ht="15" customHeight="1">
      <c r="A3" t="s">
        <v>23</v>
      </c>
      <c r="B3" t="s">
        <v>30</v>
      </c>
      <c r="C3" t="s">
        <v>145</v>
      </c>
      <c r="D3" t="s">
        <v>27</v>
      </c>
      <c r="E3" t="s">
        <v>141</v>
      </c>
      <c r="F3" t="s">
        <v>142</v>
      </c>
      <c r="G3" t="s">
        <v>143</v>
      </c>
      <c r="I3" t="s">
        <v>146</v>
      </c>
    </row>
    <row r="4" spans="1:26" ht="15" customHeight="1">
      <c r="A4" t="s">
        <v>23</v>
      </c>
      <c r="B4" t="s">
        <v>33</v>
      </c>
      <c r="C4" t="s">
        <v>147</v>
      </c>
      <c r="D4" t="s">
        <v>27</v>
      </c>
      <c r="E4" t="s">
        <v>141</v>
      </c>
      <c r="F4" t="s">
        <v>148</v>
      </c>
      <c r="G4" t="s">
        <v>143</v>
      </c>
      <c r="H4" t="s">
        <v>149</v>
      </c>
      <c r="I4" t="s">
        <v>150</v>
      </c>
    </row>
    <row r="5" spans="1:26" ht="15" customHeight="1">
      <c r="A5" t="s">
        <v>23</v>
      </c>
      <c r="B5" t="s">
        <v>36</v>
      </c>
      <c r="C5" t="s">
        <v>151</v>
      </c>
      <c r="D5" t="s">
        <v>27</v>
      </c>
      <c r="E5" t="s">
        <v>141</v>
      </c>
      <c r="F5" t="s">
        <v>142</v>
      </c>
      <c r="G5" t="s">
        <v>143</v>
      </c>
      <c r="H5" t="s">
        <v>36</v>
      </c>
      <c r="I5" t="s">
        <v>152</v>
      </c>
    </row>
    <row r="6" spans="1:26" ht="15" customHeight="1">
      <c r="A6" t="s">
        <v>23</v>
      </c>
      <c r="B6" t="s">
        <v>39</v>
      </c>
      <c r="C6" t="s">
        <v>153</v>
      </c>
      <c r="D6" t="s">
        <v>27</v>
      </c>
      <c r="E6" t="s">
        <v>141</v>
      </c>
      <c r="F6" t="s">
        <v>142</v>
      </c>
      <c r="G6" t="s">
        <v>143</v>
      </c>
      <c r="I6" t="s">
        <v>154</v>
      </c>
    </row>
    <row r="7" spans="1:26" ht="15" customHeight="1">
      <c r="A7" t="s">
        <v>23</v>
      </c>
      <c r="B7" t="s">
        <v>42</v>
      </c>
      <c r="C7" t="s">
        <v>155</v>
      </c>
      <c r="D7" t="s">
        <v>27</v>
      </c>
      <c r="E7" t="s">
        <v>141</v>
      </c>
      <c r="F7" t="s">
        <v>142</v>
      </c>
      <c r="G7" t="s">
        <v>143</v>
      </c>
      <c r="I7" t="s">
        <v>156</v>
      </c>
    </row>
    <row r="8" spans="1:26" ht="15" customHeight="1">
      <c r="A8" t="s">
        <v>23</v>
      </c>
      <c r="B8" t="s">
        <v>43</v>
      </c>
      <c r="C8" t="s">
        <v>157</v>
      </c>
      <c r="D8" t="s">
        <v>27</v>
      </c>
      <c r="E8" t="s">
        <v>141</v>
      </c>
      <c r="F8" t="s">
        <v>142</v>
      </c>
      <c r="G8" t="s">
        <v>143</v>
      </c>
      <c r="I8" t="s">
        <v>158</v>
      </c>
    </row>
    <row r="9" spans="1:26" ht="15" customHeight="1">
      <c r="A9" t="s">
        <v>23</v>
      </c>
      <c r="B9" t="s">
        <v>44</v>
      </c>
      <c r="C9" t="s">
        <v>159</v>
      </c>
      <c r="D9" t="s">
        <v>27</v>
      </c>
      <c r="E9" t="s">
        <v>141</v>
      </c>
      <c r="F9" t="s">
        <v>142</v>
      </c>
      <c r="G9" t="s">
        <v>143</v>
      </c>
      <c r="I9" t="s">
        <v>160</v>
      </c>
    </row>
    <row r="10" spans="1:26" ht="15" customHeight="1">
      <c r="A10" t="s">
        <v>23</v>
      </c>
      <c r="B10" t="s">
        <v>45</v>
      </c>
      <c r="C10" t="s">
        <v>161</v>
      </c>
      <c r="D10" t="s">
        <v>27</v>
      </c>
      <c r="E10" t="s">
        <v>141</v>
      </c>
      <c r="F10" t="s">
        <v>142</v>
      </c>
      <c r="G10" t="s">
        <v>143</v>
      </c>
      <c r="H10" t="s">
        <v>45</v>
      </c>
      <c r="I10" t="s">
        <v>162</v>
      </c>
    </row>
    <row r="11" spans="1:26" ht="15" customHeight="1">
      <c r="A11" t="s">
        <v>23</v>
      </c>
      <c r="B11" t="s">
        <v>46</v>
      </c>
      <c r="C11" t="s">
        <v>163</v>
      </c>
      <c r="D11" t="s">
        <v>27</v>
      </c>
      <c r="E11" t="s">
        <v>141</v>
      </c>
      <c r="F11" t="s">
        <v>142</v>
      </c>
      <c r="G11" t="s">
        <v>143</v>
      </c>
      <c r="H11" t="s">
        <v>164</v>
      </c>
      <c r="I11" t="s">
        <v>165</v>
      </c>
    </row>
    <row r="12" spans="1:26" ht="15" customHeight="1">
      <c r="A12" t="s">
        <v>23</v>
      </c>
      <c r="B12" t="s">
        <v>47</v>
      </c>
      <c r="C12" t="s">
        <v>166</v>
      </c>
      <c r="D12" t="s">
        <v>27</v>
      </c>
      <c r="E12" t="s">
        <v>141</v>
      </c>
      <c r="F12" t="s">
        <v>142</v>
      </c>
      <c r="G12" t="s">
        <v>143</v>
      </c>
      <c r="H12" t="s">
        <v>167</v>
      </c>
      <c r="I12" t="s">
        <v>168</v>
      </c>
    </row>
    <row r="13" spans="1:26" ht="15" customHeight="1">
      <c r="A13" t="s">
        <v>23</v>
      </c>
      <c r="B13" t="s">
        <v>48</v>
      </c>
      <c r="C13" t="s">
        <v>169</v>
      </c>
      <c r="D13" t="s">
        <v>27</v>
      </c>
      <c r="E13" t="s">
        <v>141</v>
      </c>
      <c r="F13" t="s">
        <v>142</v>
      </c>
      <c r="G13" t="s">
        <v>143</v>
      </c>
      <c r="H13" t="s">
        <v>170</v>
      </c>
      <c r="I13" t="s">
        <v>171</v>
      </c>
    </row>
    <row r="14" spans="1:26" ht="15" customHeight="1">
      <c r="A14" t="s">
        <v>23</v>
      </c>
      <c r="B14" t="s">
        <v>49</v>
      </c>
      <c r="C14" t="s">
        <v>172</v>
      </c>
      <c r="D14" t="s">
        <v>27</v>
      </c>
      <c r="E14" t="s">
        <v>141</v>
      </c>
      <c r="F14" t="s">
        <v>142</v>
      </c>
      <c r="G14" t="s">
        <v>143</v>
      </c>
      <c r="I14" t="s">
        <v>173</v>
      </c>
    </row>
    <row r="15" spans="1:26" ht="15" customHeight="1">
      <c r="A15" t="s">
        <v>23</v>
      </c>
      <c r="B15" t="s">
        <v>50</v>
      </c>
      <c r="C15" t="s">
        <v>174</v>
      </c>
      <c r="D15" t="s">
        <v>27</v>
      </c>
      <c r="E15" t="s">
        <v>141</v>
      </c>
      <c r="F15" t="s">
        <v>142</v>
      </c>
      <c r="G15" t="s">
        <v>143</v>
      </c>
      <c r="I15" t="s">
        <v>175</v>
      </c>
    </row>
    <row r="16" spans="1:26" ht="15" customHeight="1">
      <c r="A16" t="s">
        <v>21</v>
      </c>
      <c r="B16" t="s">
        <v>51</v>
      </c>
      <c r="C16" t="s">
        <v>176</v>
      </c>
      <c r="D16" t="s">
        <v>27</v>
      </c>
      <c r="E16" t="s">
        <v>177</v>
      </c>
      <c r="F16" t="s">
        <v>178</v>
      </c>
      <c r="G16" t="s">
        <v>143</v>
      </c>
      <c r="H16" t="s">
        <v>179</v>
      </c>
      <c r="I16" t="s">
        <v>180</v>
      </c>
    </row>
    <row r="17" spans="1:9" ht="15" customHeight="1">
      <c r="A17" t="s">
        <v>21</v>
      </c>
      <c r="B17" t="s">
        <v>53</v>
      </c>
      <c r="C17" t="s">
        <v>181</v>
      </c>
      <c r="D17" t="s">
        <v>27</v>
      </c>
      <c r="E17" t="s">
        <v>182</v>
      </c>
      <c r="F17" t="s">
        <v>178</v>
      </c>
      <c r="G17" t="s">
        <v>143</v>
      </c>
      <c r="H17" t="s">
        <v>183</v>
      </c>
      <c r="I17" t="s">
        <v>184</v>
      </c>
    </row>
    <row r="18" spans="1:9" ht="15" customHeight="1">
      <c r="A18" t="s">
        <v>21</v>
      </c>
      <c r="B18" t="s">
        <v>54</v>
      </c>
      <c r="C18" t="s">
        <v>185</v>
      </c>
      <c r="D18" t="s">
        <v>27</v>
      </c>
      <c r="E18" t="s">
        <v>186</v>
      </c>
      <c r="F18" t="s">
        <v>178</v>
      </c>
      <c r="G18" t="s">
        <v>143</v>
      </c>
      <c r="H18" t="s">
        <v>187</v>
      </c>
      <c r="I18" t="s">
        <v>188</v>
      </c>
    </row>
    <row r="19" spans="1:9" ht="15" customHeight="1">
      <c r="A19" t="s">
        <v>21</v>
      </c>
      <c r="B19" t="s">
        <v>55</v>
      </c>
      <c r="C19" t="s">
        <v>189</v>
      </c>
      <c r="D19" t="s">
        <v>27</v>
      </c>
      <c r="E19" t="s">
        <v>190</v>
      </c>
      <c r="F19" t="s">
        <v>178</v>
      </c>
      <c r="G19" t="s">
        <v>143</v>
      </c>
      <c r="H19" t="s">
        <v>191</v>
      </c>
      <c r="I19" t="s">
        <v>192</v>
      </c>
    </row>
    <row r="20" spans="1:9" ht="15" customHeight="1">
      <c r="A20" t="s">
        <v>21</v>
      </c>
      <c r="B20" t="s">
        <v>56</v>
      </c>
      <c r="C20" t="s">
        <v>193</v>
      </c>
      <c r="D20" t="s">
        <v>27</v>
      </c>
      <c r="E20" t="s">
        <v>194</v>
      </c>
      <c r="F20" t="s">
        <v>178</v>
      </c>
      <c r="G20" t="s">
        <v>143</v>
      </c>
      <c r="H20" t="s">
        <v>195</v>
      </c>
      <c r="I20" t="s">
        <v>196</v>
      </c>
    </row>
    <row r="21" spans="1:9" ht="15" customHeight="1">
      <c r="A21" t="s">
        <v>21</v>
      </c>
      <c r="B21" t="s">
        <v>57</v>
      </c>
      <c r="C21" t="s">
        <v>197</v>
      </c>
      <c r="D21" t="s">
        <v>27</v>
      </c>
      <c r="E21" t="s">
        <v>198</v>
      </c>
      <c r="F21" t="s">
        <v>178</v>
      </c>
      <c r="G21" t="s">
        <v>143</v>
      </c>
      <c r="H21" t="s">
        <v>199</v>
      </c>
      <c r="I21" t="s">
        <v>200</v>
      </c>
    </row>
    <row r="22" spans="1:9" ht="15" customHeight="1">
      <c r="A22" t="s">
        <v>21</v>
      </c>
      <c r="B22" t="s">
        <v>58</v>
      </c>
      <c r="C22" t="s">
        <v>201</v>
      </c>
      <c r="D22" t="s">
        <v>27</v>
      </c>
      <c r="E22" t="s">
        <v>202</v>
      </c>
      <c r="F22" t="s">
        <v>178</v>
      </c>
      <c r="G22" t="s">
        <v>143</v>
      </c>
      <c r="H22" t="s">
        <v>203</v>
      </c>
      <c r="I22" t="s">
        <v>204</v>
      </c>
    </row>
    <row r="23" spans="1:9" ht="15" customHeight="1">
      <c r="A23" t="s">
        <v>59</v>
      </c>
      <c r="B23" t="s">
        <v>60</v>
      </c>
      <c r="C23" t="s">
        <v>205</v>
      </c>
      <c r="D23" t="s">
        <v>27</v>
      </c>
      <c r="E23" t="s">
        <v>206</v>
      </c>
      <c r="F23" t="s">
        <v>148</v>
      </c>
      <c r="G23" t="s">
        <v>143</v>
      </c>
      <c r="H23" t="s">
        <v>207</v>
      </c>
      <c r="I23" t="s">
        <v>208</v>
      </c>
    </row>
    <row r="24" spans="1:9" ht="15" customHeight="1">
      <c r="A24" t="s">
        <v>59</v>
      </c>
      <c r="B24" t="s">
        <v>61</v>
      </c>
      <c r="C24" t="s">
        <v>209</v>
      </c>
      <c r="D24" t="s">
        <v>62</v>
      </c>
      <c r="E24" t="s">
        <v>206</v>
      </c>
      <c r="F24" t="s">
        <v>210</v>
      </c>
      <c r="G24" t="s">
        <v>143</v>
      </c>
      <c r="I24" t="s">
        <v>211</v>
      </c>
    </row>
    <row r="25" spans="1:9" ht="15" customHeight="1">
      <c r="A25" t="s">
        <v>59</v>
      </c>
      <c r="B25" t="s">
        <v>63</v>
      </c>
      <c r="C25" t="s">
        <v>212</v>
      </c>
      <c r="D25" t="s">
        <v>64</v>
      </c>
      <c r="E25" t="s">
        <v>206</v>
      </c>
      <c r="F25" t="s">
        <v>210</v>
      </c>
      <c r="G25" t="s">
        <v>143</v>
      </c>
      <c r="I25" t="s">
        <v>213</v>
      </c>
    </row>
    <row r="26" spans="1:9" ht="15" customHeight="1">
      <c r="A26" t="s">
        <v>59</v>
      </c>
      <c r="B26" t="s">
        <v>65</v>
      </c>
      <c r="C26" t="s">
        <v>214</v>
      </c>
      <c r="D26" t="s">
        <v>66</v>
      </c>
      <c r="E26" t="s">
        <v>206</v>
      </c>
      <c r="F26" t="s">
        <v>210</v>
      </c>
      <c r="G26" t="s">
        <v>143</v>
      </c>
      <c r="I26" t="s">
        <v>215</v>
      </c>
    </row>
    <row r="27" spans="1:9" ht="15" customHeight="1">
      <c r="A27" t="s">
        <v>59</v>
      </c>
      <c r="B27" t="s">
        <v>67</v>
      </c>
      <c r="C27" t="s">
        <v>216</v>
      </c>
      <c r="D27" t="s">
        <v>27</v>
      </c>
      <c r="E27" t="s">
        <v>206</v>
      </c>
      <c r="F27" t="s">
        <v>142</v>
      </c>
      <c r="G27" t="s">
        <v>143</v>
      </c>
      <c r="H27" t="s">
        <v>217</v>
      </c>
      <c r="I27" t="s">
        <v>218</v>
      </c>
    </row>
    <row r="28" spans="1:9" ht="15" customHeight="1">
      <c r="A28" t="s">
        <v>68</v>
      </c>
      <c r="B28" t="s">
        <v>69</v>
      </c>
      <c r="C28" t="s">
        <v>219</v>
      </c>
      <c r="D28" t="s">
        <v>70</v>
      </c>
      <c r="E28" t="s">
        <v>177</v>
      </c>
      <c r="F28" t="s">
        <v>210</v>
      </c>
      <c r="G28" t="s">
        <v>143</v>
      </c>
      <c r="I28" t="s">
        <v>220</v>
      </c>
    </row>
    <row r="29" spans="1:9" ht="15" customHeight="1">
      <c r="A29" t="s">
        <v>68</v>
      </c>
      <c r="B29" t="s">
        <v>71</v>
      </c>
      <c r="C29" t="s">
        <v>221</v>
      </c>
      <c r="D29" t="s">
        <v>70</v>
      </c>
      <c r="E29" t="s">
        <v>177</v>
      </c>
      <c r="F29" t="s">
        <v>210</v>
      </c>
      <c r="G29" t="s">
        <v>143</v>
      </c>
      <c r="I29" t="s">
        <v>222</v>
      </c>
    </row>
    <row r="30" spans="1:9" ht="15" customHeight="1">
      <c r="A30" t="s">
        <v>68</v>
      </c>
      <c r="B30" t="s">
        <v>72</v>
      </c>
      <c r="C30" t="s">
        <v>223</v>
      </c>
      <c r="D30" t="s">
        <v>27</v>
      </c>
      <c r="E30" t="s">
        <v>177</v>
      </c>
      <c r="F30" t="s">
        <v>148</v>
      </c>
      <c r="G30" t="s">
        <v>143</v>
      </c>
      <c r="H30" t="s">
        <v>224</v>
      </c>
      <c r="I30" t="s">
        <v>225</v>
      </c>
    </row>
    <row r="31" spans="1:9" ht="15" customHeight="1">
      <c r="A31" t="s">
        <v>68</v>
      </c>
      <c r="B31" t="s">
        <v>73</v>
      </c>
      <c r="C31" t="s">
        <v>226</v>
      </c>
      <c r="D31" t="s">
        <v>70</v>
      </c>
      <c r="E31" t="s">
        <v>177</v>
      </c>
      <c r="F31" t="s">
        <v>210</v>
      </c>
      <c r="G31" t="s">
        <v>143</v>
      </c>
      <c r="I31" t="s">
        <v>227</v>
      </c>
    </row>
    <row r="32" spans="1:9" ht="15" customHeight="1">
      <c r="A32" t="s">
        <v>68</v>
      </c>
      <c r="B32" t="s">
        <v>74</v>
      </c>
      <c r="C32" t="s">
        <v>228</v>
      </c>
      <c r="D32" t="s">
        <v>70</v>
      </c>
      <c r="E32" t="s">
        <v>177</v>
      </c>
      <c r="F32" t="s">
        <v>210</v>
      </c>
      <c r="G32" t="s">
        <v>143</v>
      </c>
      <c r="I32" t="s">
        <v>229</v>
      </c>
    </row>
    <row r="33" spans="1:9" ht="15" customHeight="1">
      <c r="A33" t="s">
        <v>68</v>
      </c>
      <c r="B33" t="s">
        <v>75</v>
      </c>
      <c r="C33" t="s">
        <v>230</v>
      </c>
      <c r="D33" t="s">
        <v>76</v>
      </c>
      <c r="E33" t="s">
        <v>177</v>
      </c>
      <c r="F33" t="s">
        <v>210</v>
      </c>
      <c r="G33" t="s">
        <v>143</v>
      </c>
      <c r="I33" t="s">
        <v>231</v>
      </c>
    </row>
    <row r="34" spans="1:9" ht="15" customHeight="1">
      <c r="A34" t="s">
        <v>68</v>
      </c>
      <c r="B34" t="s">
        <v>77</v>
      </c>
      <c r="C34" t="s">
        <v>232</v>
      </c>
      <c r="D34" t="s">
        <v>27</v>
      </c>
      <c r="E34" t="s">
        <v>177</v>
      </c>
      <c r="F34" t="s">
        <v>142</v>
      </c>
      <c r="G34" t="s">
        <v>143</v>
      </c>
      <c r="I34" t="s">
        <v>233</v>
      </c>
    </row>
    <row r="35" spans="1:9" ht="15" customHeight="1">
      <c r="A35" t="s">
        <v>68</v>
      </c>
      <c r="B35" t="s">
        <v>78</v>
      </c>
      <c r="C35" t="s">
        <v>234</v>
      </c>
      <c r="D35" t="s">
        <v>27</v>
      </c>
      <c r="E35" t="s">
        <v>177</v>
      </c>
      <c r="F35" t="s">
        <v>148</v>
      </c>
      <c r="G35" t="s">
        <v>143</v>
      </c>
      <c r="H35" t="s">
        <v>235</v>
      </c>
      <c r="I35" t="s">
        <v>236</v>
      </c>
    </row>
    <row r="36" spans="1:9" ht="15" customHeight="1">
      <c r="A36" t="s">
        <v>68</v>
      </c>
      <c r="B36" t="s">
        <v>79</v>
      </c>
      <c r="C36" t="s">
        <v>237</v>
      </c>
      <c r="D36" t="s">
        <v>27</v>
      </c>
      <c r="E36" t="s">
        <v>177</v>
      </c>
      <c r="F36" t="s">
        <v>238</v>
      </c>
      <c r="G36" t="s">
        <v>143</v>
      </c>
      <c r="H36" t="s">
        <v>239</v>
      </c>
      <c r="I36" t="s">
        <v>240</v>
      </c>
    </row>
    <row r="37" spans="1:9" ht="15" customHeight="1">
      <c r="A37" t="s">
        <v>68</v>
      </c>
      <c r="B37" t="s">
        <v>80</v>
      </c>
      <c r="C37" t="s">
        <v>241</v>
      </c>
      <c r="D37" t="s">
        <v>27</v>
      </c>
      <c r="E37" t="s">
        <v>177</v>
      </c>
      <c r="F37" t="s">
        <v>238</v>
      </c>
      <c r="G37" t="s">
        <v>143</v>
      </c>
      <c r="H37" t="s">
        <v>242</v>
      </c>
      <c r="I37" t="s">
        <v>243</v>
      </c>
    </row>
    <row r="38" spans="1:9" ht="15" customHeight="1">
      <c r="A38" t="s">
        <v>81</v>
      </c>
      <c r="B38" t="s">
        <v>82</v>
      </c>
      <c r="C38" t="s">
        <v>244</v>
      </c>
      <c r="D38" t="s">
        <v>27</v>
      </c>
      <c r="E38" t="s">
        <v>245</v>
      </c>
      <c r="F38" t="s">
        <v>148</v>
      </c>
      <c r="G38" t="s">
        <v>143</v>
      </c>
      <c r="I38" t="s">
        <v>246</v>
      </c>
    </row>
    <row r="39" spans="1:9" ht="15" customHeight="1">
      <c r="A39" t="s">
        <v>81</v>
      </c>
      <c r="B39" t="s">
        <v>83</v>
      </c>
      <c r="C39" t="s">
        <v>247</v>
      </c>
      <c r="D39" t="s">
        <v>27</v>
      </c>
      <c r="E39" t="s">
        <v>245</v>
      </c>
      <c r="F39" t="s">
        <v>248</v>
      </c>
      <c r="G39" t="s">
        <v>143</v>
      </c>
      <c r="I39" t="s">
        <v>249</v>
      </c>
    </row>
    <row r="40" spans="1:9" ht="15" customHeight="1">
      <c r="A40" t="s">
        <v>81</v>
      </c>
      <c r="B40" t="s">
        <v>84</v>
      </c>
      <c r="C40" t="s">
        <v>250</v>
      </c>
      <c r="D40" t="s">
        <v>70</v>
      </c>
      <c r="E40" t="s">
        <v>245</v>
      </c>
      <c r="F40" t="s">
        <v>210</v>
      </c>
      <c r="G40" t="s">
        <v>143</v>
      </c>
      <c r="I40" t="s">
        <v>251</v>
      </c>
    </row>
    <row r="41" spans="1:9" ht="15" customHeight="1">
      <c r="A41" t="s">
        <v>81</v>
      </c>
      <c r="B41" t="s">
        <v>85</v>
      </c>
      <c r="C41" t="s">
        <v>252</v>
      </c>
      <c r="D41" t="s">
        <v>70</v>
      </c>
      <c r="E41" t="s">
        <v>245</v>
      </c>
      <c r="F41" t="s">
        <v>210</v>
      </c>
      <c r="G41" t="s">
        <v>143</v>
      </c>
      <c r="I41" t="s">
        <v>253</v>
      </c>
    </row>
    <row r="42" spans="1:9" ht="15" customHeight="1">
      <c r="A42" t="s">
        <v>81</v>
      </c>
      <c r="B42" t="s">
        <v>86</v>
      </c>
      <c r="C42" t="s">
        <v>254</v>
      </c>
      <c r="D42" t="s">
        <v>62</v>
      </c>
      <c r="E42" t="s">
        <v>245</v>
      </c>
      <c r="F42" t="s">
        <v>210</v>
      </c>
      <c r="G42" t="s">
        <v>143</v>
      </c>
      <c r="I42" t="s">
        <v>255</v>
      </c>
    </row>
    <row r="43" spans="1:9" ht="15" customHeight="1">
      <c r="A43" t="s">
        <v>81</v>
      </c>
      <c r="B43" t="s">
        <v>87</v>
      </c>
      <c r="C43" t="s">
        <v>256</v>
      </c>
      <c r="D43" t="s">
        <v>64</v>
      </c>
      <c r="E43" t="s">
        <v>245</v>
      </c>
      <c r="F43" t="s">
        <v>210</v>
      </c>
      <c r="G43" t="s">
        <v>143</v>
      </c>
      <c r="I43" t="s">
        <v>257</v>
      </c>
    </row>
    <row r="44" spans="1:9" ht="15" customHeight="1">
      <c r="A44" t="s">
        <v>81</v>
      </c>
      <c r="B44" t="s">
        <v>88</v>
      </c>
      <c r="C44" t="s">
        <v>258</v>
      </c>
      <c r="D44" t="s">
        <v>66</v>
      </c>
      <c r="E44" t="s">
        <v>245</v>
      </c>
      <c r="F44" t="s">
        <v>210</v>
      </c>
      <c r="G44" t="s">
        <v>143</v>
      </c>
      <c r="I44" t="s">
        <v>259</v>
      </c>
    </row>
    <row r="45" spans="1:9" ht="15" customHeight="1">
      <c r="A45" t="s">
        <v>89</v>
      </c>
      <c r="B45" t="s">
        <v>90</v>
      </c>
      <c r="C45" t="s">
        <v>260</v>
      </c>
      <c r="D45" t="s">
        <v>91</v>
      </c>
      <c r="E45" t="s">
        <v>182</v>
      </c>
      <c r="F45" t="s">
        <v>210</v>
      </c>
      <c r="G45" t="s">
        <v>143</v>
      </c>
      <c r="I45" t="s">
        <v>261</v>
      </c>
    </row>
    <row r="46" spans="1:9" ht="15" customHeight="1">
      <c r="A46" t="s">
        <v>89</v>
      </c>
      <c r="B46" t="s">
        <v>92</v>
      </c>
      <c r="C46" t="s">
        <v>262</v>
      </c>
      <c r="D46" t="s">
        <v>91</v>
      </c>
      <c r="E46" t="s">
        <v>182</v>
      </c>
      <c r="F46" t="s">
        <v>210</v>
      </c>
      <c r="G46" t="s">
        <v>263</v>
      </c>
      <c r="I46" t="s">
        <v>264</v>
      </c>
    </row>
    <row r="47" spans="1:9" ht="15" customHeight="1">
      <c r="A47" t="s">
        <v>89</v>
      </c>
      <c r="B47" t="s">
        <v>93</v>
      </c>
      <c r="C47" t="s">
        <v>265</v>
      </c>
      <c r="D47" t="s">
        <v>27</v>
      </c>
      <c r="E47" t="s">
        <v>182</v>
      </c>
      <c r="F47" t="s">
        <v>142</v>
      </c>
      <c r="G47" t="s">
        <v>143</v>
      </c>
      <c r="I47" t="s">
        <v>218</v>
      </c>
    </row>
    <row r="48" spans="1:9" ht="15" customHeight="1">
      <c r="A48" t="s">
        <v>34</v>
      </c>
      <c r="B48" t="s">
        <v>94</v>
      </c>
      <c r="C48" t="s">
        <v>266</v>
      </c>
      <c r="D48" t="s">
        <v>27</v>
      </c>
      <c r="E48" t="s">
        <v>186</v>
      </c>
      <c r="F48" t="s">
        <v>248</v>
      </c>
      <c r="G48" t="s">
        <v>143</v>
      </c>
      <c r="I48" t="s">
        <v>267</v>
      </c>
    </row>
    <row r="49" spans="1:9" ht="15" customHeight="1">
      <c r="A49" t="s">
        <v>34</v>
      </c>
      <c r="B49" t="s">
        <v>95</v>
      </c>
      <c r="C49" t="s">
        <v>268</v>
      </c>
      <c r="D49" t="s">
        <v>27</v>
      </c>
      <c r="E49" t="s">
        <v>186</v>
      </c>
      <c r="F49" t="s">
        <v>248</v>
      </c>
      <c r="G49" t="s">
        <v>143</v>
      </c>
      <c r="I49" t="s">
        <v>269</v>
      </c>
    </row>
    <row r="50" spans="1:9" ht="15" customHeight="1">
      <c r="A50" t="s">
        <v>34</v>
      </c>
      <c r="B50" t="s">
        <v>96</v>
      </c>
      <c r="C50" t="s">
        <v>270</v>
      </c>
      <c r="D50" t="s">
        <v>27</v>
      </c>
      <c r="E50" t="s">
        <v>186</v>
      </c>
      <c r="F50" t="s">
        <v>238</v>
      </c>
      <c r="G50" t="s">
        <v>143</v>
      </c>
      <c r="I50" t="s">
        <v>271</v>
      </c>
    </row>
    <row r="51" spans="1:9" ht="15" customHeight="1">
      <c r="A51" t="s">
        <v>34</v>
      </c>
      <c r="B51" t="s">
        <v>97</v>
      </c>
      <c r="C51" t="s">
        <v>272</v>
      </c>
      <c r="D51" t="s">
        <v>98</v>
      </c>
      <c r="E51" t="s">
        <v>186</v>
      </c>
      <c r="F51" t="s">
        <v>210</v>
      </c>
      <c r="G51" t="s">
        <v>143</v>
      </c>
      <c r="I51" t="s">
        <v>273</v>
      </c>
    </row>
    <row r="52" spans="1:9" ht="15" customHeight="1">
      <c r="A52" t="s">
        <v>34</v>
      </c>
      <c r="B52" t="s">
        <v>99</v>
      </c>
      <c r="C52" t="s">
        <v>274</v>
      </c>
      <c r="D52" t="s">
        <v>98</v>
      </c>
      <c r="E52" t="s">
        <v>186</v>
      </c>
      <c r="F52" t="s">
        <v>210</v>
      </c>
      <c r="G52" t="s">
        <v>143</v>
      </c>
      <c r="I52" t="s">
        <v>275</v>
      </c>
    </row>
    <row r="53" spans="1:9" ht="15" customHeight="1">
      <c r="A53" t="s">
        <v>34</v>
      </c>
      <c r="B53" t="s">
        <v>100</v>
      </c>
      <c r="C53" t="s">
        <v>276</v>
      </c>
      <c r="D53" t="s">
        <v>98</v>
      </c>
      <c r="E53" t="s">
        <v>186</v>
      </c>
      <c r="F53" t="s">
        <v>210</v>
      </c>
      <c r="G53" t="s">
        <v>263</v>
      </c>
      <c r="I53" t="s">
        <v>277</v>
      </c>
    </row>
    <row r="54" spans="1:9" ht="15" customHeight="1">
      <c r="A54" t="s">
        <v>34</v>
      </c>
      <c r="B54" t="s">
        <v>101</v>
      </c>
      <c r="C54" t="s">
        <v>278</v>
      </c>
      <c r="D54" t="s">
        <v>98</v>
      </c>
      <c r="E54" t="s">
        <v>186</v>
      </c>
      <c r="F54" t="s">
        <v>210</v>
      </c>
      <c r="G54" t="s">
        <v>263</v>
      </c>
      <c r="I54" t="s">
        <v>277</v>
      </c>
    </row>
    <row r="55" spans="1:9" ht="15" customHeight="1">
      <c r="A55" t="s">
        <v>34</v>
      </c>
      <c r="B55" t="s">
        <v>102</v>
      </c>
      <c r="C55" t="s">
        <v>279</v>
      </c>
      <c r="D55" t="s">
        <v>103</v>
      </c>
      <c r="E55" t="s">
        <v>186</v>
      </c>
      <c r="F55" t="s">
        <v>210</v>
      </c>
      <c r="G55" t="s">
        <v>143</v>
      </c>
      <c r="I55" t="s">
        <v>280</v>
      </c>
    </row>
    <row r="56" spans="1:9" ht="15" customHeight="1">
      <c r="A56" t="s">
        <v>34</v>
      </c>
      <c r="B56" t="s">
        <v>104</v>
      </c>
      <c r="C56" t="s">
        <v>281</v>
      </c>
      <c r="D56" t="s">
        <v>27</v>
      </c>
      <c r="E56" t="s">
        <v>186</v>
      </c>
      <c r="F56" t="s">
        <v>210</v>
      </c>
      <c r="G56" t="s">
        <v>263</v>
      </c>
      <c r="I56" t="s">
        <v>282</v>
      </c>
    </row>
    <row r="57" spans="1:9" ht="15" customHeight="1">
      <c r="A57" t="s">
        <v>34</v>
      </c>
      <c r="B57" t="s">
        <v>105</v>
      </c>
      <c r="C57" t="s">
        <v>283</v>
      </c>
      <c r="D57" t="s">
        <v>76</v>
      </c>
      <c r="E57" t="s">
        <v>186</v>
      </c>
      <c r="F57" t="s">
        <v>210</v>
      </c>
      <c r="G57" t="s">
        <v>143</v>
      </c>
      <c r="I57" t="s">
        <v>284</v>
      </c>
    </row>
    <row r="58" spans="1:9" ht="15" customHeight="1">
      <c r="A58" t="s">
        <v>34</v>
      </c>
      <c r="B58" t="s">
        <v>106</v>
      </c>
      <c r="C58" t="s">
        <v>285</v>
      </c>
      <c r="D58" t="s">
        <v>27</v>
      </c>
      <c r="E58" t="s">
        <v>186</v>
      </c>
      <c r="F58" t="s">
        <v>140</v>
      </c>
      <c r="G58" t="s">
        <v>263</v>
      </c>
      <c r="I58" t="s">
        <v>286</v>
      </c>
    </row>
    <row r="59" spans="1:9" ht="15" customHeight="1">
      <c r="A59" t="s">
        <v>107</v>
      </c>
      <c r="B59" t="s">
        <v>108</v>
      </c>
      <c r="C59" t="s">
        <v>287</v>
      </c>
      <c r="D59" t="s">
        <v>27</v>
      </c>
      <c r="E59" t="s">
        <v>190</v>
      </c>
      <c r="F59" t="s">
        <v>248</v>
      </c>
      <c r="G59" t="s">
        <v>143</v>
      </c>
      <c r="I59" t="s">
        <v>288</v>
      </c>
    </row>
    <row r="60" spans="1:9" ht="15" customHeight="1">
      <c r="A60" t="s">
        <v>107</v>
      </c>
      <c r="B60" t="s">
        <v>109</v>
      </c>
      <c r="C60" t="s">
        <v>289</v>
      </c>
      <c r="D60" t="s">
        <v>27</v>
      </c>
      <c r="E60" t="s">
        <v>190</v>
      </c>
      <c r="F60" t="s">
        <v>248</v>
      </c>
      <c r="G60" t="s">
        <v>263</v>
      </c>
      <c r="I60" t="s">
        <v>290</v>
      </c>
    </row>
    <row r="61" spans="1:9" ht="15" customHeight="1">
      <c r="A61" t="s">
        <v>107</v>
      </c>
      <c r="B61" t="s">
        <v>110</v>
      </c>
      <c r="C61" t="s">
        <v>291</v>
      </c>
      <c r="D61" t="s">
        <v>62</v>
      </c>
      <c r="E61" t="s">
        <v>190</v>
      </c>
      <c r="F61" t="s">
        <v>210</v>
      </c>
      <c r="G61" t="s">
        <v>143</v>
      </c>
      <c r="I61" t="s">
        <v>292</v>
      </c>
    </row>
    <row r="62" spans="1:9" ht="15" customHeight="1">
      <c r="A62" t="s">
        <v>107</v>
      </c>
      <c r="B62" t="s">
        <v>111</v>
      </c>
      <c r="C62" t="s">
        <v>293</v>
      </c>
      <c r="D62" t="s">
        <v>64</v>
      </c>
      <c r="E62" t="s">
        <v>190</v>
      </c>
      <c r="F62" t="s">
        <v>210</v>
      </c>
      <c r="G62" t="s">
        <v>143</v>
      </c>
      <c r="I62" t="s">
        <v>294</v>
      </c>
    </row>
    <row r="63" spans="1:9" ht="15" customHeight="1">
      <c r="A63" t="s">
        <v>107</v>
      </c>
      <c r="B63" t="s">
        <v>112</v>
      </c>
      <c r="C63" t="s">
        <v>295</v>
      </c>
      <c r="D63" t="s">
        <v>66</v>
      </c>
      <c r="E63" t="s">
        <v>190</v>
      </c>
      <c r="F63" t="s">
        <v>210</v>
      </c>
      <c r="G63" t="s">
        <v>143</v>
      </c>
      <c r="I63" t="s">
        <v>296</v>
      </c>
    </row>
    <row r="64" spans="1:9" ht="15" customHeight="1">
      <c r="A64" t="s">
        <v>107</v>
      </c>
      <c r="B64" t="s">
        <v>113</v>
      </c>
      <c r="C64" t="s">
        <v>297</v>
      </c>
      <c r="D64" t="s">
        <v>76</v>
      </c>
      <c r="E64" t="s">
        <v>190</v>
      </c>
      <c r="F64" t="s">
        <v>210</v>
      </c>
      <c r="G64" t="s">
        <v>143</v>
      </c>
      <c r="I64" t="s">
        <v>298</v>
      </c>
    </row>
    <row r="65" spans="1:9" ht="15" customHeight="1">
      <c r="A65" t="s">
        <v>107</v>
      </c>
      <c r="B65" t="s">
        <v>114</v>
      </c>
      <c r="C65" t="s">
        <v>299</v>
      </c>
      <c r="D65" t="s">
        <v>27</v>
      </c>
      <c r="E65" t="s">
        <v>190</v>
      </c>
      <c r="F65" t="s">
        <v>148</v>
      </c>
      <c r="G65" t="s">
        <v>143</v>
      </c>
      <c r="H65" t="s">
        <v>300</v>
      </c>
      <c r="I65" t="s">
        <v>301</v>
      </c>
    </row>
    <row r="66" spans="1:9" ht="15" customHeight="1">
      <c r="A66" t="s">
        <v>115</v>
      </c>
      <c r="B66" t="s">
        <v>116</v>
      </c>
      <c r="C66" t="s">
        <v>302</v>
      </c>
      <c r="D66" t="s">
        <v>27</v>
      </c>
      <c r="E66" t="s">
        <v>194</v>
      </c>
      <c r="F66" t="s">
        <v>248</v>
      </c>
      <c r="G66" t="s">
        <v>143</v>
      </c>
      <c r="I66" t="s">
        <v>288</v>
      </c>
    </row>
    <row r="67" spans="1:9" ht="15" customHeight="1">
      <c r="A67" t="s">
        <v>115</v>
      </c>
      <c r="B67" t="s">
        <v>109</v>
      </c>
      <c r="C67" t="s">
        <v>303</v>
      </c>
      <c r="D67" t="s">
        <v>27</v>
      </c>
      <c r="E67" t="s">
        <v>194</v>
      </c>
      <c r="F67" t="s">
        <v>248</v>
      </c>
      <c r="G67" t="s">
        <v>263</v>
      </c>
      <c r="I67" t="s">
        <v>290</v>
      </c>
    </row>
    <row r="68" spans="1:9" ht="15" customHeight="1">
      <c r="A68" t="s">
        <v>115</v>
      </c>
      <c r="B68" t="s">
        <v>117</v>
      </c>
      <c r="C68" t="s">
        <v>304</v>
      </c>
      <c r="D68" t="s">
        <v>62</v>
      </c>
      <c r="E68" t="s">
        <v>194</v>
      </c>
      <c r="F68" t="s">
        <v>210</v>
      </c>
      <c r="G68" t="s">
        <v>143</v>
      </c>
      <c r="I68" t="s">
        <v>292</v>
      </c>
    </row>
    <row r="69" spans="1:9" ht="15" customHeight="1">
      <c r="A69" t="s">
        <v>115</v>
      </c>
      <c r="B69" t="s">
        <v>118</v>
      </c>
      <c r="C69" t="s">
        <v>305</v>
      </c>
      <c r="D69" t="s">
        <v>64</v>
      </c>
      <c r="E69" t="s">
        <v>194</v>
      </c>
      <c r="F69" t="s">
        <v>210</v>
      </c>
      <c r="G69" t="s">
        <v>143</v>
      </c>
      <c r="I69" t="s">
        <v>294</v>
      </c>
    </row>
    <row r="70" spans="1:9" ht="15" customHeight="1">
      <c r="A70" t="s">
        <v>115</v>
      </c>
      <c r="B70" t="s">
        <v>119</v>
      </c>
      <c r="C70" t="s">
        <v>306</v>
      </c>
      <c r="D70" t="s">
        <v>66</v>
      </c>
      <c r="E70" t="s">
        <v>194</v>
      </c>
      <c r="F70" t="s">
        <v>210</v>
      </c>
      <c r="G70" t="s">
        <v>143</v>
      </c>
      <c r="I70" t="s">
        <v>296</v>
      </c>
    </row>
    <row r="71" spans="1:9" ht="15" customHeight="1">
      <c r="A71" t="s">
        <v>115</v>
      </c>
      <c r="B71" t="s">
        <v>120</v>
      </c>
      <c r="C71" t="s">
        <v>307</v>
      </c>
      <c r="D71" t="s">
        <v>121</v>
      </c>
      <c r="E71" t="s">
        <v>194</v>
      </c>
      <c r="F71" t="s">
        <v>210</v>
      </c>
      <c r="G71" t="s">
        <v>143</v>
      </c>
      <c r="I71" t="s">
        <v>308</v>
      </c>
    </row>
    <row r="72" spans="1:9" ht="15" customHeight="1">
      <c r="A72" t="s">
        <v>122</v>
      </c>
      <c r="B72" t="s">
        <v>123</v>
      </c>
      <c r="C72" t="s">
        <v>309</v>
      </c>
      <c r="D72" t="s">
        <v>27</v>
      </c>
      <c r="E72" t="s">
        <v>198</v>
      </c>
      <c r="F72" t="s">
        <v>248</v>
      </c>
      <c r="G72" t="s">
        <v>143</v>
      </c>
      <c r="I72" t="s">
        <v>288</v>
      </c>
    </row>
    <row r="73" spans="1:9" ht="15" customHeight="1">
      <c r="A73" t="s">
        <v>122</v>
      </c>
      <c r="B73" t="s">
        <v>109</v>
      </c>
      <c r="C73" t="s">
        <v>310</v>
      </c>
      <c r="D73" t="s">
        <v>27</v>
      </c>
      <c r="E73" t="s">
        <v>198</v>
      </c>
      <c r="F73" t="s">
        <v>248</v>
      </c>
      <c r="G73" t="s">
        <v>263</v>
      </c>
      <c r="I73" t="s">
        <v>290</v>
      </c>
    </row>
    <row r="74" spans="1:9" ht="15" customHeight="1">
      <c r="A74" t="s">
        <v>122</v>
      </c>
      <c r="B74" t="s">
        <v>124</v>
      </c>
      <c r="C74" t="s">
        <v>311</v>
      </c>
      <c r="D74" t="s">
        <v>62</v>
      </c>
      <c r="E74" t="s">
        <v>198</v>
      </c>
      <c r="F74" t="s">
        <v>210</v>
      </c>
      <c r="G74" t="s">
        <v>143</v>
      </c>
      <c r="I74" t="s">
        <v>292</v>
      </c>
    </row>
    <row r="75" spans="1:9" ht="15" customHeight="1">
      <c r="A75" t="s">
        <v>122</v>
      </c>
      <c r="B75" t="s">
        <v>125</v>
      </c>
      <c r="C75" t="s">
        <v>312</v>
      </c>
      <c r="D75" t="s">
        <v>64</v>
      </c>
      <c r="E75" t="s">
        <v>198</v>
      </c>
      <c r="F75" t="s">
        <v>210</v>
      </c>
      <c r="G75" t="s">
        <v>143</v>
      </c>
      <c r="I75" t="s">
        <v>294</v>
      </c>
    </row>
    <row r="76" spans="1:9" ht="15" customHeight="1">
      <c r="A76" t="s">
        <v>122</v>
      </c>
      <c r="B76" t="s">
        <v>126</v>
      </c>
      <c r="C76" t="s">
        <v>313</v>
      </c>
      <c r="D76" t="s">
        <v>66</v>
      </c>
      <c r="E76" t="s">
        <v>198</v>
      </c>
      <c r="F76" t="s">
        <v>210</v>
      </c>
      <c r="G76" t="s">
        <v>143</v>
      </c>
      <c r="I76" t="s">
        <v>296</v>
      </c>
    </row>
    <row r="77" spans="1:9" ht="15" customHeight="1">
      <c r="A77" t="s">
        <v>127</v>
      </c>
      <c r="B77" t="s">
        <v>128</v>
      </c>
      <c r="C77" t="s">
        <v>314</v>
      </c>
      <c r="D77" t="s">
        <v>27</v>
      </c>
      <c r="E77" t="s">
        <v>202</v>
      </c>
      <c r="F77" t="s">
        <v>248</v>
      </c>
      <c r="G77" t="s">
        <v>143</v>
      </c>
      <c r="I77" t="s">
        <v>288</v>
      </c>
    </row>
    <row r="78" spans="1:9" ht="15" customHeight="1">
      <c r="A78" t="s">
        <v>127</v>
      </c>
      <c r="B78" t="s">
        <v>109</v>
      </c>
      <c r="C78" t="s">
        <v>315</v>
      </c>
      <c r="D78" t="s">
        <v>27</v>
      </c>
      <c r="E78" t="s">
        <v>202</v>
      </c>
      <c r="F78" t="s">
        <v>248</v>
      </c>
      <c r="G78" t="s">
        <v>263</v>
      </c>
      <c r="I78" t="s">
        <v>290</v>
      </c>
    </row>
    <row r="79" spans="1:9" ht="15" customHeight="1">
      <c r="A79" t="s">
        <v>127</v>
      </c>
      <c r="B79" t="s">
        <v>129</v>
      </c>
      <c r="C79" t="s">
        <v>316</v>
      </c>
      <c r="D79" t="s">
        <v>62</v>
      </c>
      <c r="E79" t="s">
        <v>202</v>
      </c>
      <c r="F79" t="s">
        <v>210</v>
      </c>
      <c r="G79" t="s">
        <v>143</v>
      </c>
      <c r="I79" t="s">
        <v>292</v>
      </c>
    </row>
    <row r="80" spans="1:9" ht="15" customHeight="1">
      <c r="A80" t="s">
        <v>127</v>
      </c>
      <c r="B80" t="s">
        <v>130</v>
      </c>
      <c r="C80" t="s">
        <v>317</v>
      </c>
      <c r="D80" t="s">
        <v>64</v>
      </c>
      <c r="E80" t="s">
        <v>202</v>
      </c>
      <c r="F80" t="s">
        <v>210</v>
      </c>
      <c r="G80" t="s">
        <v>143</v>
      </c>
      <c r="I80" t="s">
        <v>294</v>
      </c>
    </row>
    <row r="81" spans="1:9" ht="15" customHeight="1">
      <c r="A81" t="s">
        <v>127</v>
      </c>
      <c r="B81" t="s">
        <v>131</v>
      </c>
      <c r="C81" t="s">
        <v>318</v>
      </c>
      <c r="D81" t="s">
        <v>66</v>
      </c>
      <c r="E81" t="s">
        <v>202</v>
      </c>
      <c r="F81" t="s">
        <v>210</v>
      </c>
      <c r="G81" t="s">
        <v>143</v>
      </c>
      <c r="I81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3"/>
  <sheetViews>
    <sheetView workbookViewId="0">
      <selection activeCell="H13" sqref="H13"/>
    </sheetView>
  </sheetViews>
  <sheetFormatPr defaultRowHeight="14.25"/>
  <cols>
    <col min="1" max="24" width="22" customWidth="1"/>
  </cols>
  <sheetData>
    <row r="1" spans="1:35" ht="39.6" customHeight="1">
      <c r="A1" s="1" t="s">
        <v>179</v>
      </c>
      <c r="B1" s="1" t="s">
        <v>183</v>
      </c>
      <c r="C1" s="1" t="s">
        <v>187</v>
      </c>
      <c r="D1" s="1" t="s">
        <v>191</v>
      </c>
      <c r="E1" s="1" t="s">
        <v>195</v>
      </c>
      <c r="F1" s="1" t="s">
        <v>199</v>
      </c>
      <c r="G1" s="1" t="s">
        <v>203</v>
      </c>
      <c r="H1" s="1" t="s">
        <v>149</v>
      </c>
      <c r="I1" s="1" t="s">
        <v>36</v>
      </c>
      <c r="J1" s="1" t="s">
        <v>45</v>
      </c>
      <c r="K1" s="1" t="s">
        <v>164</v>
      </c>
      <c r="L1" s="1" t="s">
        <v>167</v>
      </c>
      <c r="M1" s="1" t="s">
        <v>170</v>
      </c>
      <c r="N1" s="1" t="s">
        <v>224</v>
      </c>
      <c r="O1" s="1" t="s">
        <v>235</v>
      </c>
      <c r="P1" s="1" t="s">
        <v>242</v>
      </c>
      <c r="Q1" s="1" t="s">
        <v>239</v>
      </c>
      <c r="R1" s="1" t="s">
        <v>207</v>
      </c>
      <c r="S1" s="1" t="s">
        <v>217</v>
      </c>
      <c r="T1" s="1" t="s">
        <v>319</v>
      </c>
      <c r="U1" s="1" t="s">
        <v>320</v>
      </c>
      <c r="V1" s="1" t="s">
        <v>300</v>
      </c>
      <c r="W1" s="1" t="s">
        <v>321</v>
      </c>
      <c r="X1" s="1" t="s">
        <v>322</v>
      </c>
      <c r="Y1" s="1" t="s">
        <v>323</v>
      </c>
      <c r="Z1" s="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</row>
    <row r="2" spans="1:35" ht="15" customHeight="1">
      <c r="A2" t="s">
        <v>334</v>
      </c>
      <c r="B2" t="s">
        <v>334</v>
      </c>
      <c r="C2" t="s">
        <v>334</v>
      </c>
      <c r="D2" t="s">
        <v>334</v>
      </c>
      <c r="E2" t="s">
        <v>334</v>
      </c>
      <c r="F2" t="s">
        <v>334</v>
      </c>
      <c r="G2" t="s">
        <v>334</v>
      </c>
      <c r="H2" s="22" t="s">
        <v>335</v>
      </c>
      <c r="I2" t="s">
        <v>336</v>
      </c>
      <c r="J2" t="s">
        <v>337</v>
      </c>
      <c r="K2" t="s">
        <v>338</v>
      </c>
      <c r="L2" t="s">
        <v>339</v>
      </c>
      <c r="M2" t="s">
        <v>340</v>
      </c>
      <c r="N2" t="s">
        <v>341</v>
      </c>
      <c r="O2" t="s">
        <v>342</v>
      </c>
      <c r="P2" t="s">
        <v>343</v>
      </c>
      <c r="Q2" t="s">
        <v>344</v>
      </c>
      <c r="R2" t="s">
        <v>345</v>
      </c>
      <c r="S2" t="s">
        <v>335</v>
      </c>
      <c r="T2" t="s">
        <v>334</v>
      </c>
      <c r="U2" t="s">
        <v>334</v>
      </c>
      <c r="V2" t="s">
        <v>346</v>
      </c>
      <c r="W2" t="s">
        <v>27</v>
      </c>
      <c r="X2" t="s">
        <v>62</v>
      </c>
      <c r="Y2" t="s">
        <v>64</v>
      </c>
      <c r="Z2" t="s">
        <v>66</v>
      </c>
      <c r="AA2" t="s">
        <v>70</v>
      </c>
      <c r="AB2" t="s">
        <v>91</v>
      </c>
      <c r="AC2" t="s">
        <v>98</v>
      </c>
      <c r="AD2" t="s">
        <v>103</v>
      </c>
      <c r="AE2" t="s">
        <v>121</v>
      </c>
      <c r="AF2" t="s">
        <v>347</v>
      </c>
      <c r="AG2" t="s">
        <v>76</v>
      </c>
      <c r="AH2" t="s">
        <v>348</v>
      </c>
      <c r="AI2" t="s">
        <v>349</v>
      </c>
    </row>
    <row r="3" spans="1:35" ht="15" customHeight="1">
      <c r="A3" t="s">
        <v>350</v>
      </c>
      <c r="B3" t="s">
        <v>351</v>
      </c>
      <c r="C3" t="s">
        <v>352</v>
      </c>
      <c r="D3" t="s">
        <v>352</v>
      </c>
      <c r="E3" t="s">
        <v>352</v>
      </c>
      <c r="F3" t="s">
        <v>352</v>
      </c>
      <c r="G3" t="s">
        <v>352</v>
      </c>
      <c r="H3" s="22" t="str" cm="1">
        <f t="array" ref="H3:H13">_xlfn.TOCOL(REQUEST!F4:Q4,1)</f>
        <v>Requested #1</v>
      </c>
      <c r="I3" t="s">
        <v>353</v>
      </c>
      <c r="J3" t="s">
        <v>354</v>
      </c>
      <c r="K3" t="s">
        <v>355</v>
      </c>
      <c r="L3" t="s">
        <v>356</v>
      </c>
      <c r="M3" t="s">
        <v>357</v>
      </c>
      <c r="N3" t="s">
        <v>358</v>
      </c>
      <c r="O3" t="s">
        <v>359</v>
      </c>
      <c r="P3" t="s">
        <v>360</v>
      </c>
      <c r="Q3" t="s">
        <v>361</v>
      </c>
      <c r="R3" t="s">
        <v>362</v>
      </c>
      <c r="S3" t="s">
        <v>363</v>
      </c>
      <c r="T3" t="s">
        <v>364</v>
      </c>
      <c r="U3" t="s">
        <v>365</v>
      </c>
      <c r="V3" t="s">
        <v>366</v>
      </c>
      <c r="X3" t="s">
        <v>367</v>
      </c>
      <c r="Y3" t="s">
        <v>368</v>
      </c>
      <c r="Z3" t="s">
        <v>369</v>
      </c>
      <c r="AA3" t="s">
        <v>370</v>
      </c>
      <c r="AB3" t="s">
        <v>371</v>
      </c>
      <c r="AC3" t="s">
        <v>349</v>
      </c>
      <c r="AD3" t="s">
        <v>372</v>
      </c>
      <c r="AE3" t="s">
        <v>373</v>
      </c>
      <c r="AF3" t="s">
        <v>374</v>
      </c>
      <c r="AG3" t="s">
        <v>375</v>
      </c>
      <c r="AH3" t="s">
        <v>376</v>
      </c>
      <c r="AI3" t="s">
        <v>377</v>
      </c>
    </row>
    <row r="4" spans="1:35" ht="15" customHeight="1">
      <c r="A4" t="s">
        <v>378</v>
      </c>
      <c r="B4" t="s">
        <v>379</v>
      </c>
      <c r="C4" t="s">
        <v>380</v>
      </c>
      <c r="D4" t="s">
        <v>400</v>
      </c>
      <c r="E4" t="s">
        <v>400</v>
      </c>
      <c r="F4" t="s">
        <v>400</v>
      </c>
      <c r="G4" t="s">
        <v>400</v>
      </c>
      <c r="H4" s="22" t="str">
        <v>Requested #2</v>
      </c>
      <c r="I4" t="s">
        <v>381</v>
      </c>
      <c r="J4" t="s">
        <v>382</v>
      </c>
      <c r="K4" t="s">
        <v>383</v>
      </c>
      <c r="L4" t="s">
        <v>384</v>
      </c>
      <c r="M4" t="s">
        <v>385</v>
      </c>
      <c r="N4" t="s">
        <v>386</v>
      </c>
      <c r="P4" t="s">
        <v>387</v>
      </c>
      <c r="Q4" t="s">
        <v>388</v>
      </c>
      <c r="R4" t="s">
        <v>389</v>
      </c>
      <c r="S4" t="s">
        <v>390</v>
      </c>
      <c r="T4" t="s">
        <v>391</v>
      </c>
      <c r="U4" t="s">
        <v>392</v>
      </c>
      <c r="V4" t="s">
        <v>393</v>
      </c>
      <c r="Y4" t="s">
        <v>394</v>
      </c>
      <c r="Z4" t="s">
        <v>395</v>
      </c>
      <c r="AC4" t="s">
        <v>377</v>
      </c>
      <c r="AD4" t="s">
        <v>396</v>
      </c>
      <c r="AF4" t="s">
        <v>397</v>
      </c>
      <c r="AI4" t="s">
        <v>98</v>
      </c>
    </row>
    <row r="5" spans="1:35" ht="15" customHeight="1">
      <c r="A5" t="s">
        <v>398</v>
      </c>
      <c r="C5" t="s">
        <v>399</v>
      </c>
      <c r="D5" t="s">
        <v>412</v>
      </c>
      <c r="E5" t="s">
        <v>412</v>
      </c>
      <c r="F5" t="s">
        <v>412</v>
      </c>
      <c r="G5" t="s">
        <v>412</v>
      </c>
      <c r="H5" s="22" t="str">
        <v>Requested #3</v>
      </c>
      <c r="J5" t="s">
        <v>401</v>
      </c>
      <c r="K5" t="s">
        <v>402</v>
      </c>
      <c r="L5" t="s">
        <v>403</v>
      </c>
      <c r="M5" t="s">
        <v>404</v>
      </c>
      <c r="N5" t="s">
        <v>405</v>
      </c>
      <c r="Q5" t="s">
        <v>406</v>
      </c>
      <c r="S5" t="s">
        <v>389</v>
      </c>
      <c r="T5" t="s">
        <v>407</v>
      </c>
      <c r="Y5" t="s">
        <v>408</v>
      </c>
      <c r="Z5" t="s">
        <v>409</v>
      </c>
    </row>
    <row r="6" spans="1:35" ht="15" customHeight="1">
      <c r="A6" t="s">
        <v>410</v>
      </c>
      <c r="C6" t="s">
        <v>411</v>
      </c>
      <c r="D6" t="s">
        <v>420</v>
      </c>
      <c r="E6" t="s">
        <v>421</v>
      </c>
      <c r="F6" t="s">
        <v>418</v>
      </c>
      <c r="G6" t="s">
        <v>418</v>
      </c>
      <c r="H6" s="22" t="str">
        <v>Requested #4</v>
      </c>
      <c r="K6" t="s">
        <v>413</v>
      </c>
      <c r="M6" t="s">
        <v>414</v>
      </c>
      <c r="N6" t="s">
        <v>415</v>
      </c>
      <c r="Q6" t="s">
        <v>416</v>
      </c>
      <c r="S6" t="s">
        <v>417</v>
      </c>
      <c r="T6" t="s">
        <v>418</v>
      </c>
    </row>
    <row r="7" spans="1:35" ht="15" customHeight="1">
      <c r="A7" t="s">
        <v>419</v>
      </c>
      <c r="D7" t="s">
        <v>418</v>
      </c>
      <c r="E7" t="s">
        <v>418</v>
      </c>
      <c r="H7" s="22" t="str">
        <v>Requested #5</v>
      </c>
      <c r="K7" t="s">
        <v>422</v>
      </c>
      <c r="M7" t="s">
        <v>423</v>
      </c>
      <c r="N7" t="s">
        <v>424</v>
      </c>
      <c r="Q7" t="s">
        <v>425</v>
      </c>
    </row>
    <row r="8" spans="1:35" ht="15" customHeight="1">
      <c r="A8" t="s">
        <v>426</v>
      </c>
      <c r="H8" s="22" t="str">
        <v>Requested #6</v>
      </c>
      <c r="M8" t="s">
        <v>427</v>
      </c>
      <c r="N8" t="s">
        <v>428</v>
      </c>
      <c r="Q8" t="s">
        <v>429</v>
      </c>
    </row>
    <row r="9" spans="1:35" ht="15" customHeight="1">
      <c r="A9" t="s">
        <v>430</v>
      </c>
      <c r="H9" s="22" t="str">
        <v>Requested #7</v>
      </c>
      <c r="M9" t="s">
        <v>431</v>
      </c>
      <c r="N9" t="s">
        <v>432</v>
      </c>
      <c r="Q9" t="s">
        <v>433</v>
      </c>
    </row>
    <row r="10" spans="1:35" ht="15" customHeight="1">
      <c r="H10" s="22" t="str">
        <v>Requested #8</v>
      </c>
      <c r="N10" t="s">
        <v>434</v>
      </c>
      <c r="Q10" t="s">
        <v>435</v>
      </c>
    </row>
    <row r="11" spans="1:35" ht="15" customHeight="1">
      <c r="H11" t="str">
        <v>Requested #9</v>
      </c>
      <c r="N11" t="s">
        <v>436</v>
      </c>
      <c r="Q11" t="s">
        <v>437</v>
      </c>
    </row>
    <row r="12" spans="1:35" ht="15" customHeight="1">
      <c r="H12" t="str">
        <v>Requested #10</v>
      </c>
      <c r="Q12" t="s">
        <v>438</v>
      </c>
    </row>
    <row r="13" spans="1:35">
      <c r="H13" t="str">
        <v>Requested #11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6" ht="15" customHeight="1">
      <c r="A1" s="1" t="s">
        <v>439</v>
      </c>
      <c r="B1" s="1" t="s">
        <v>440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t="s">
        <v>441</v>
      </c>
      <c r="B2" t="s">
        <v>442</v>
      </c>
    </row>
    <row r="3" spans="1:26" ht="15" customHeight="1">
      <c r="A3" t="s">
        <v>4</v>
      </c>
      <c r="B3" t="s">
        <v>443</v>
      </c>
    </row>
    <row r="4" spans="1:26" ht="15" customHeight="1">
      <c r="A4" t="s">
        <v>6</v>
      </c>
      <c r="B4" t="s">
        <v>444</v>
      </c>
    </row>
    <row r="5" spans="1:26" ht="15" customHeight="1">
      <c r="A5" t="s">
        <v>445</v>
      </c>
      <c r="B5" t="s">
        <v>446</v>
      </c>
    </row>
    <row r="6" spans="1:26" ht="15" customHeight="1">
      <c r="A6" t="s">
        <v>447</v>
      </c>
      <c r="B6" t="s">
        <v>448</v>
      </c>
    </row>
    <row r="7" spans="1:26" ht="15" customHeight="1">
      <c r="A7" t="s">
        <v>449</v>
      </c>
      <c r="B7" t="s">
        <v>450</v>
      </c>
    </row>
    <row r="8" spans="1:26" ht="15" customHeight="1">
      <c r="A8" t="s">
        <v>21</v>
      </c>
      <c r="B8" t="s">
        <v>451</v>
      </c>
    </row>
    <row r="9" spans="1:26" ht="15" customHeight="1">
      <c r="A9" t="s">
        <v>452</v>
      </c>
      <c r="B9" t="s">
        <v>453</v>
      </c>
    </row>
    <row r="10" spans="1:26" ht="15" customHeight="1">
      <c r="A10" t="s">
        <v>454</v>
      </c>
      <c r="B10" t="s">
        <v>455</v>
      </c>
    </row>
    <row r="11" spans="1:26" ht="15" customHeight="1">
      <c r="A11" t="s">
        <v>456</v>
      </c>
      <c r="B11" t="s">
        <v>457</v>
      </c>
    </row>
    <row r="12" spans="1:26" ht="15" customHeight="1">
      <c r="A12" t="s">
        <v>458</v>
      </c>
      <c r="B12" t="s">
        <v>459</v>
      </c>
    </row>
    <row r="13" spans="1:26" ht="15" customHeight="1">
      <c r="A13" t="s">
        <v>40</v>
      </c>
      <c r="B13" t="s">
        <v>460</v>
      </c>
    </row>
    <row r="14" spans="1:26" ht="15" customHeight="1">
      <c r="A14" t="s">
        <v>461</v>
      </c>
      <c r="B14" t="s">
        <v>462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REQUEST</vt:lpstr>
      <vt:lpstr>FIELD_MAP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Ferreira Rocha</dc:creator>
  <cp:lastModifiedBy>CAIO HENRIQUE FERREIRA ROCHA (EXTERNAL)</cp:lastModifiedBy>
  <dcterms:created xsi:type="dcterms:W3CDTF">2026-07-10T19:42:01Z</dcterms:created>
  <dcterms:modified xsi:type="dcterms:W3CDTF">2026-07-13T02:36:05Z</dcterms:modified>
</cp:coreProperties>
</file>